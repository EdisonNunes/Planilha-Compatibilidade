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ser\SAS\Empresa Servicos\SERVIÇOS\Validaçao de Filtros\Compatibilidade\Formulario\Formulario Customizado - Cristalia\"/>
    </mc:Choice>
  </mc:AlternateContent>
  <xr:revisionPtr revIDLastSave="0" documentId="13_ncr:1_{45F57453-5453-4D45-96EC-C863BCFBF812}" xr6:coauthVersionLast="47" xr6:coauthVersionMax="47" xr10:uidLastSave="{00000000-0000-0000-0000-000000000000}"/>
  <bookViews>
    <workbookView xWindow="-120" yWindow="-120" windowWidth="29040" windowHeight="15840" xr2:uid="{95425D9F-50F4-46F4-AB93-DF7CDA4F46E3}"/>
  </bookViews>
  <sheets>
    <sheet name="ENTRADAS" sheetId="4" r:id="rId1"/>
    <sheet name="AREA TRANSFER" sheetId="5" r:id="rId2"/>
    <sheet name="CADASTRO" sheetId="2" r:id="rId3"/>
    <sheet name="DB" sheetId="8" r:id="rId4"/>
  </sheets>
  <definedNames>
    <definedName name="_xlnm._FilterDatabase" localSheetId="3" hidden="1">DB!$A$1:$EJ$1</definedName>
    <definedName name="_xleta.ROU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4" l="1"/>
  <c r="I2" i="5"/>
  <c r="F99" i="4"/>
  <c r="G124" i="4"/>
  <c r="F124" i="4" s="1"/>
  <c r="DS2" i="5" l="1"/>
  <c r="DR2" i="5"/>
  <c r="H80" i="4"/>
  <c r="H81" i="4"/>
  <c r="H79" i="4"/>
  <c r="F80" i="4"/>
  <c r="F81" i="4"/>
  <c r="F79" i="4"/>
  <c r="N69" i="4" l="1"/>
  <c r="F106" i="4"/>
  <c r="M85" i="4"/>
  <c r="L85" i="4" s="1"/>
  <c r="M86" i="4"/>
  <c r="L86" i="4" s="1"/>
  <c r="M84" i="4"/>
  <c r="L84" i="4" s="1"/>
  <c r="M80" i="4"/>
  <c r="L80" i="4" s="1"/>
  <c r="M81" i="4"/>
  <c r="M79" i="4"/>
  <c r="L79" i="4" s="1"/>
  <c r="I79" i="4" l="1"/>
  <c r="L81" i="4"/>
  <c r="I81" i="4"/>
  <c r="I80" i="4"/>
  <c r="J79" i="4" l="1"/>
  <c r="F120" i="4" s="1"/>
  <c r="N73" i="4"/>
  <c r="E113" i="4"/>
  <c r="E114" i="4"/>
  <c r="E112" i="4"/>
  <c r="M100" i="4" l="1"/>
  <c r="M101" i="4"/>
  <c r="M99" i="4"/>
  <c r="K100" i="4"/>
  <c r="K101" i="4"/>
  <c r="K99" i="4"/>
  <c r="J100" i="4"/>
  <c r="J101" i="4"/>
  <c r="J99" i="4"/>
  <c r="EJ2" i="5"/>
  <c r="BK2" i="5"/>
  <c r="DK2" i="5"/>
  <c r="DG2" i="5"/>
  <c r="CS2" i="5"/>
  <c r="CQ2" i="5"/>
  <c r="A2" i="5"/>
  <c r="EI2" i="5"/>
  <c r="EH2" i="5"/>
  <c r="EG2" i="5"/>
  <c r="I22" i="4"/>
  <c r="E125" i="4" s="1"/>
  <c r="F125" i="4" s="1"/>
  <c r="EE2" i="5" s="1"/>
  <c r="E123" i="4"/>
  <c r="H121" i="4"/>
  <c r="E122" i="4" s="1"/>
  <c r="H119" i="4"/>
  <c r="G75" i="4"/>
  <c r="G74" i="4"/>
  <c r="G73" i="4"/>
  <c r="E121" i="4"/>
  <c r="DQ2" i="5"/>
  <c r="DO2" i="5"/>
  <c r="DI2" i="5"/>
  <c r="DH2" i="5"/>
  <c r="CU2" i="5"/>
  <c r="CW2" i="5"/>
  <c r="CX2" i="5"/>
  <c r="CY2" i="5"/>
  <c r="DA2" i="5"/>
  <c r="DF2" i="5"/>
  <c r="DE2" i="5"/>
  <c r="DD2" i="5"/>
  <c r="DC2" i="5"/>
  <c r="DB2" i="5"/>
  <c r="CZ2" i="5"/>
  <c r="CV2" i="5"/>
  <c r="CT2" i="5"/>
  <c r="CR2" i="5"/>
  <c r="CP2" i="5"/>
  <c r="DM2" i="5"/>
  <c r="DJ2" i="5"/>
  <c r="D95" i="4"/>
  <c r="D96" i="4"/>
  <c r="D94" i="4"/>
  <c r="M2" i="5"/>
  <c r="L2" i="5"/>
  <c r="D21" i="4"/>
  <c r="X2" i="5" s="1"/>
  <c r="D20" i="4"/>
  <c r="D19" i="4"/>
  <c r="D18" i="4"/>
  <c r="D7" i="4"/>
  <c r="G2" i="5" s="1"/>
  <c r="D6" i="4"/>
  <c r="D5" i="4"/>
  <c r="D4" i="4"/>
  <c r="D3" i="4"/>
  <c r="AH2" i="5"/>
  <c r="CL2" i="5"/>
  <c r="CJ2" i="5"/>
  <c r="CG2" i="5"/>
  <c r="CE2" i="5"/>
  <c r="CB2" i="5"/>
  <c r="BZ2" i="5"/>
  <c r="BY2" i="5"/>
  <c r="BV2" i="5"/>
  <c r="BU2" i="5"/>
  <c r="BS2" i="5"/>
  <c r="BR2" i="5"/>
  <c r="BP2" i="5"/>
  <c r="BO2" i="5"/>
  <c r="BN2" i="5"/>
  <c r="BM2" i="5"/>
  <c r="BL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Q2" i="5"/>
  <c r="AP2" i="5"/>
  <c r="AO2" i="5"/>
  <c r="AN2" i="5"/>
  <c r="AM2" i="5"/>
  <c r="AL2" i="5"/>
  <c r="AK2" i="5"/>
  <c r="AJ2" i="5"/>
  <c r="AI2" i="5"/>
  <c r="AG2" i="5"/>
  <c r="AF2" i="5"/>
  <c r="AE2" i="5"/>
  <c r="AD2" i="5"/>
  <c r="AB2" i="5"/>
  <c r="AA2" i="5"/>
  <c r="Z2" i="5"/>
  <c r="S2" i="5"/>
  <c r="R2" i="5"/>
  <c r="Q2" i="5"/>
  <c r="P2" i="5"/>
  <c r="O2" i="5"/>
  <c r="N2" i="5"/>
  <c r="K2" i="5"/>
  <c r="J2" i="5"/>
  <c r="H2" i="5"/>
  <c r="B2" i="5"/>
  <c r="N100" i="4" l="1"/>
  <c r="N99" i="4"/>
  <c r="N101" i="4"/>
  <c r="F121" i="4"/>
  <c r="EA2" i="5" s="1"/>
  <c r="E108" i="4"/>
  <c r="DP2" i="5" s="1"/>
  <c r="D90" i="4"/>
  <c r="D91" i="4"/>
  <c r="D89" i="4"/>
  <c r="D85" i="4"/>
  <c r="D86" i="4"/>
  <c r="D84" i="4"/>
  <c r="D80" i="4"/>
  <c r="D81" i="4"/>
  <c r="D79" i="4"/>
  <c r="D74" i="4"/>
  <c r="D75" i="4"/>
  <c r="D73" i="4"/>
  <c r="DU2" i="5"/>
  <c r="DV2" i="5"/>
  <c r="N103" i="4" l="1"/>
  <c r="N102" i="4"/>
  <c r="N105" i="4" s="1"/>
  <c r="DL2" i="5"/>
  <c r="E124" i="4"/>
  <c r="DT2" i="5"/>
  <c r="F126" i="4"/>
  <c r="EF2" i="5" s="1"/>
  <c r="CI2" i="5"/>
  <c r="BT2" i="5"/>
  <c r="CC2" i="5"/>
  <c r="CN2" i="5"/>
  <c r="CA2" i="5"/>
  <c r="BQ2" i="5"/>
  <c r="CK2" i="5"/>
  <c r="BW2" i="5"/>
  <c r="CF2" i="5"/>
  <c r="CM2" i="5"/>
  <c r="CD2" i="5"/>
  <c r="CH2" i="5"/>
  <c r="H73" i="4"/>
  <c r="F119" i="4" s="1"/>
  <c r="DY2" i="5" s="1"/>
  <c r="E115" i="4"/>
  <c r="DZ2" i="5"/>
  <c r="ED2" i="5" l="1"/>
  <c r="N104" i="4"/>
  <c r="DW2" i="5"/>
  <c r="E116" i="4"/>
  <c r="DX2" i="5" s="1"/>
  <c r="BX2" i="5"/>
  <c r="CO2" i="5"/>
  <c r="D44" i="4"/>
  <c r="W2" i="5" l="1"/>
  <c r="E2" i="5"/>
  <c r="F2" i="5"/>
  <c r="D2" i="5"/>
  <c r="AR2" i="5"/>
  <c r="C2" i="5"/>
  <c r="D22" i="4"/>
  <c r="T2" i="5"/>
  <c r="D26" i="4"/>
  <c r="U2" i="5"/>
  <c r="V2" i="5"/>
  <c r="E106" i="4"/>
  <c r="F123" i="4" l="1"/>
  <c r="EC2" i="5" s="1"/>
  <c r="DN2" i="5"/>
  <c r="F122" i="4"/>
  <c r="EB2" i="5" s="1"/>
  <c r="AC2" i="5"/>
  <c r="Y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tc={F317FA5A-9E41-4F83-9042-328BE6BC4F70}</author>
    <author>tc={451D11F5-99C3-4890-814C-BBCAEFCBC444}</author>
  </authors>
  <commentList>
    <comment ref="B11" authorId="0" shapeId="0" xr:uid="{F317FA5A-9E41-4F83-9042-328BE6BC4F7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Comentários sobre o local de teste
</t>
      </text>
    </comment>
    <comment ref="B12" authorId="1" shapeId="0" xr:uid="{451D11F5-99C3-4890-814C-BBCAEFCBC444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Comentário 2 é sobre a estrutura e acessórios do local. </t>
      </text>
    </comment>
  </commentList>
</comments>
</file>

<file path=xl/sharedStrings.xml><?xml version="1.0" encoding="utf-8"?>
<sst xmlns="http://schemas.openxmlformats.org/spreadsheetml/2006/main" count="2213" uniqueCount="1051">
  <si>
    <t>Produto</t>
  </si>
  <si>
    <t>CNPJ</t>
  </si>
  <si>
    <t>Cidade</t>
  </si>
  <si>
    <t>UF</t>
  </si>
  <si>
    <t>CEP</t>
  </si>
  <si>
    <t>Telefone</t>
  </si>
  <si>
    <t>Catalogo</t>
  </si>
  <si>
    <t>ID da Sala</t>
  </si>
  <si>
    <t>Cargo</t>
  </si>
  <si>
    <t>Local</t>
  </si>
  <si>
    <t>Area Efetiva</t>
  </si>
  <si>
    <t>Tipo de Membrana</t>
  </si>
  <si>
    <t>Cristália Produtos Químicos Farmacêuticos Ltda.</t>
  </si>
  <si>
    <t>Formulação</t>
  </si>
  <si>
    <t>Concentração</t>
  </si>
  <si>
    <t>Descrição</t>
  </si>
  <si>
    <t>Travoprosta + Maleato de Timolol 0.04mg/mL - 5mg/mL</t>
  </si>
  <si>
    <t>44.734.671/0001-51</t>
  </si>
  <si>
    <t>SP</t>
  </si>
  <si>
    <t>Millena Pillon</t>
  </si>
  <si>
    <t>millena.pillon@cristalia.com.br</t>
  </si>
  <si>
    <t>****</t>
  </si>
  <si>
    <t>R1MB56659</t>
  </si>
  <si>
    <t>0000219864</t>
  </si>
  <si>
    <t>0000216773</t>
  </si>
  <si>
    <t>KVGLA02TT3</t>
  </si>
  <si>
    <t>C3AB84979</t>
  </si>
  <si>
    <t>0162</t>
  </si>
  <si>
    <t>Produção</t>
  </si>
  <si>
    <t>S01</t>
  </si>
  <si>
    <t>Kely Prudente Sousa</t>
  </si>
  <si>
    <t>Jamile Niéri</t>
  </si>
  <si>
    <t>0.22 µm</t>
  </si>
  <si>
    <t>PVDF</t>
  </si>
  <si>
    <t>0.09 m²</t>
  </si>
  <si>
    <t>WFI</t>
  </si>
  <si>
    <t>Travoprosta + Maleato de Timolol</t>
  </si>
  <si>
    <t xml:space="preserve"> 0.04mg/mL - 5mg/mL</t>
  </si>
  <si>
    <t>Complemento</t>
  </si>
  <si>
    <t>Local de Teste</t>
  </si>
  <si>
    <t>Pessoal de Suporte</t>
  </si>
  <si>
    <t>Cargo 1</t>
  </si>
  <si>
    <t>Cargo 2</t>
  </si>
  <si>
    <t>Cargo 3</t>
  </si>
  <si>
    <t>Cargo 4</t>
  </si>
  <si>
    <t>EMPRESA</t>
  </si>
  <si>
    <t>ENDEREÇO</t>
  </si>
  <si>
    <t>CIDADE</t>
  </si>
  <si>
    <t>CONTATO</t>
  </si>
  <si>
    <t>DEPARTAMENTO</t>
  </si>
  <si>
    <t>TELEFONE</t>
  </si>
  <si>
    <t>MOBILE</t>
  </si>
  <si>
    <t>E-MAIL</t>
  </si>
  <si>
    <t>Fresenius Hemocare Ltda</t>
  </si>
  <si>
    <t>49.601.107/0001-84</t>
  </si>
  <si>
    <t>06855-690</t>
  </si>
  <si>
    <t>R. Roque Gonzáles, 128</t>
  </si>
  <si>
    <t>Itapecerica</t>
  </si>
  <si>
    <t>Lucas O. Silva</t>
  </si>
  <si>
    <t>Manutenção</t>
  </si>
  <si>
    <t>11 2183-8982</t>
  </si>
  <si>
    <t>Lucas.o.Silva@fresenius-kabi.com</t>
  </si>
  <si>
    <t>Lab Quim Farmac Do Exercito</t>
  </si>
  <si>
    <t>10.266.175/0001-07</t>
  </si>
  <si>
    <t>20911-015</t>
  </si>
  <si>
    <t xml:space="preserve"> R. Licínio Cardoso, 96</t>
  </si>
  <si>
    <t>Rio de Janeiro</t>
  </si>
  <si>
    <t>RJ</t>
  </si>
  <si>
    <t>Ana Paula F. d Magalhães</t>
  </si>
  <si>
    <t>Trat. Água</t>
  </si>
  <si>
    <t>21 96675-8379</t>
  </si>
  <si>
    <t>21 96411-6635</t>
  </si>
  <si>
    <t>ana_dosanjos@yahoo.com.br</t>
  </si>
  <si>
    <t>Farmarin Industria E Comercio Ltda</t>
  </si>
  <si>
    <t>58.635.830/0001-75</t>
  </si>
  <si>
    <t>07140-000</t>
  </si>
  <si>
    <t xml:space="preserve">Rua Pedro de Toledo, 600 </t>
  </si>
  <si>
    <t>Guarulhos</t>
  </si>
  <si>
    <t>Andrei Crippa</t>
  </si>
  <si>
    <t>11 2402-8800</t>
  </si>
  <si>
    <t>11 9 5630-4284</t>
  </si>
  <si>
    <t>andrei.crippa@farmarin.com.br</t>
  </si>
  <si>
    <t>CEVA Saúde Animal S/A</t>
  </si>
  <si>
    <t>07.086.487/0001-16</t>
  </si>
  <si>
    <t>35675-000</t>
  </si>
  <si>
    <t>Rod Mg 050 Km 18,5</t>
  </si>
  <si>
    <t>Juatuba</t>
  </si>
  <si>
    <t>MG</t>
  </si>
  <si>
    <t>Victor Silva</t>
  </si>
  <si>
    <t>Validação</t>
  </si>
  <si>
    <t>31 3537-4143</t>
  </si>
  <si>
    <t>31 99177-7166</t>
  </si>
  <si>
    <t>victor.silva@ceva.com</t>
  </si>
  <si>
    <t>Cristalia Prod Quim Farm Ltda</t>
  </si>
  <si>
    <t xml:space="preserve">044.734.671/0004-02 </t>
  </si>
  <si>
    <t>05359-001</t>
  </si>
  <si>
    <t>AV. NOSSA SENHORA ASSUNÇÃO, 574</t>
  </si>
  <si>
    <t>São Paulo</t>
  </si>
  <si>
    <t>Marcio Leite</t>
  </si>
  <si>
    <t>11-3732 2299</t>
  </si>
  <si>
    <t>manutencao5@cristalia.com.br</t>
  </si>
  <si>
    <t>Merial Saude Animal Ltda</t>
  </si>
  <si>
    <t xml:space="preserve"> 57.600.249/0017-12</t>
  </si>
  <si>
    <t>13140-000</t>
  </si>
  <si>
    <t xml:space="preserve"> Rdv Dr Roberto Moreira</t>
  </si>
  <si>
    <t>Paulínia</t>
  </si>
  <si>
    <t>Julio Martin</t>
  </si>
  <si>
    <t>Grifols Brasil Ltda.</t>
  </si>
  <si>
    <t>02.513.899/0001-71</t>
  </si>
  <si>
    <t>83607-430</t>
  </si>
  <si>
    <t>AV GIANNI AGNELLI, 1909</t>
  </si>
  <si>
    <t>Campo Largo</t>
  </si>
  <si>
    <t>PR</t>
  </si>
  <si>
    <t>Everson S. de Andrade</t>
  </si>
  <si>
    <t>Predução</t>
  </si>
  <si>
    <t>41 3375-5450</t>
  </si>
  <si>
    <t>41 9 8855-0451</t>
  </si>
  <si>
    <t>everson.deandrade@grifols.com</t>
  </si>
  <si>
    <t>Ache Laboratórios Farmacêuticos S/A</t>
  </si>
  <si>
    <t>53.162.095/0001-06</t>
  </si>
  <si>
    <t>04795-000</t>
  </si>
  <si>
    <t>AV DAS NACOES UNIDAS, 22428</t>
  </si>
  <si>
    <t>Sidcley D. da Silva</t>
  </si>
  <si>
    <t>Utilidades</t>
  </si>
  <si>
    <t>11 5546-6756</t>
  </si>
  <si>
    <t>sidcley.silva@ACHE.COM.BR</t>
  </si>
  <si>
    <t>Bimeda Brasil S.A.</t>
  </si>
  <si>
    <t>00.328.741/0001-04</t>
  </si>
  <si>
    <t>13190-000</t>
  </si>
  <si>
    <t>Rodovia Cônego Cyriaco Scaranello Pires, 421</t>
  </si>
  <si>
    <t>Monte Mor</t>
  </si>
  <si>
    <t>Leticia B. Oliveira</t>
  </si>
  <si>
    <t>19 38797400</t>
  </si>
  <si>
    <t>lberton@bimeda.com.br</t>
  </si>
  <si>
    <t>Eurofarma Laboratórios S/A</t>
  </si>
  <si>
    <t>61.190.096/0011-64</t>
  </si>
  <si>
    <t>14095-000</t>
  </si>
  <si>
    <t>Av. Pres. Castelo Branco, 1385</t>
  </si>
  <si>
    <t>Ribeirão Preto</t>
  </si>
  <si>
    <t>Maita Santos</t>
  </si>
  <si>
    <t>16 3512-4900</t>
  </si>
  <si>
    <t>maita.santos@eurofarma.com.br</t>
  </si>
  <si>
    <t>Fresenius Kabi Brasil Ltda</t>
  </si>
  <si>
    <t>49.324.221/0001-04</t>
  </si>
  <si>
    <t>61700-000</t>
  </si>
  <si>
    <t xml:space="preserve">Rod Ce 040, 0 Km 10 </t>
  </si>
  <si>
    <t>Aquiraz</t>
  </si>
  <si>
    <t>CE</t>
  </si>
  <si>
    <t>Diassis Maciel</t>
  </si>
  <si>
    <t>85 3421-6785</t>
  </si>
  <si>
    <t xml:space="preserve">disssis.maciel@fresenius-kabi.com </t>
  </si>
  <si>
    <t>União Quimica Farm. Nacional SA.</t>
  </si>
  <si>
    <t>60.665.981/0012-70</t>
  </si>
  <si>
    <t>07112-070</t>
  </si>
  <si>
    <t>Av. Pres. Tancredo de Almeida Neves, 1555</t>
  </si>
  <si>
    <t>André Leonardo G.Moura</t>
  </si>
  <si>
    <t>Instrumentação</t>
  </si>
  <si>
    <t>11 2464-1405</t>
  </si>
  <si>
    <t>11 2464-1757</t>
  </si>
  <si>
    <t>algaspar@inovatlab.com.br</t>
  </si>
  <si>
    <t>Ouro Fino Agronegocio Ltda</t>
  </si>
  <si>
    <t>57.624.462/0001-05</t>
  </si>
  <si>
    <t>14.140-000</t>
  </si>
  <si>
    <t>V ANHANGUERA, SSP 330, S/N, KM 298</t>
  </si>
  <si>
    <t>Cravinhos</t>
  </si>
  <si>
    <t>Paulo V. Branco</t>
  </si>
  <si>
    <t>16 3518-4175</t>
  </si>
  <si>
    <t>Paulo.Volcani@ourofino.com</t>
  </si>
  <si>
    <t>Apsen Farmaceutica S A</t>
  </si>
  <si>
    <t>62.462.015/0001-29</t>
  </si>
  <si>
    <t>04755-020</t>
  </si>
  <si>
    <t xml:space="preserve">R La Paz, 162 </t>
  </si>
  <si>
    <t>Cleiton Ubiratan</t>
  </si>
  <si>
    <t>11 5645-5204</t>
  </si>
  <si>
    <t>cleiton.leite@apsen.com.br</t>
  </si>
  <si>
    <t>Halex Istar Industria Farmaceutica Ltda</t>
  </si>
  <si>
    <t>01.571.702/0001-98</t>
  </si>
  <si>
    <t>74665-833</t>
  </si>
  <si>
    <t>BR 153 S/N  Km 3 - QD A Lt. 01</t>
  </si>
  <si>
    <t xml:space="preserve">Goinia </t>
  </si>
  <si>
    <t>GO</t>
  </si>
  <si>
    <t xml:space="preserve">Lidiany Miranda </t>
  </si>
  <si>
    <t>Compras</t>
  </si>
  <si>
    <t>11 3265-6500</t>
  </si>
  <si>
    <t>lidiany.miranda@halexistar.com.br</t>
  </si>
  <si>
    <t>Inst Tecnol Do Parana - Tecpar</t>
  </si>
  <si>
    <t>77.964.393/0001-88</t>
  </si>
  <si>
    <t>81350-010</t>
  </si>
  <si>
    <t>R Professor Algacyr Munhoz Mader, 3775</t>
  </si>
  <si>
    <t>Curitiba</t>
  </si>
  <si>
    <t>Oswaldo Schreder</t>
  </si>
  <si>
    <t>Dir. Industrial</t>
  </si>
  <si>
    <t>41 3316-3073</t>
  </si>
  <si>
    <t>oswaldo@tecpar.br</t>
  </si>
  <si>
    <t>Cristalia Latinofarma</t>
  </si>
  <si>
    <t>60.084.456/0001-09</t>
  </si>
  <si>
    <t>06711-270</t>
  </si>
  <si>
    <t>R Thomas Sepe, 489 Fr</t>
  </si>
  <si>
    <t>Cotia</t>
  </si>
  <si>
    <t>Joyce R. Chagas</t>
  </si>
  <si>
    <t>Garantia  Qualidade</t>
  </si>
  <si>
    <t>(11) 4613-5895</t>
  </si>
  <si>
    <t>joyce.chagas@cristalia.com.br</t>
  </si>
  <si>
    <t>Zoetis Ind De Prod Veterinarios Ltd</t>
  </si>
  <si>
    <t>43.588.045/0001-31</t>
  </si>
  <si>
    <t>13064-798</t>
  </si>
  <si>
    <t xml:space="preserve">Etr Luiz Fernando Rodriguez, 1701 </t>
  </si>
  <si>
    <t>Campinas</t>
  </si>
  <si>
    <t xml:space="preserve">Eduardo F. Santos </t>
  </si>
  <si>
    <t>19 37456278</t>
  </si>
  <si>
    <t>19 9916-8402</t>
  </si>
  <si>
    <t>eduardof.santos@zoetis.com</t>
  </si>
  <si>
    <t>Boehringer Ingelhein do Brasil Quim.Farm. Ltda.</t>
  </si>
  <si>
    <t xml:space="preserve">60.831.658/0021-10 </t>
  </si>
  <si>
    <t>06888-700</t>
  </si>
  <si>
    <t>Rdv Regis Bittencourt, 0 Km 286</t>
  </si>
  <si>
    <t>Ana Clara Jesus</t>
  </si>
  <si>
    <t xml:space="preserve">19 3745-6171 </t>
  </si>
  <si>
    <t>ana_clara.silva_de_jesus.ext@boehringer-ingelheim.com</t>
  </si>
  <si>
    <t>Ind Quimico Farm Cearense Ltda</t>
  </si>
  <si>
    <t>06.628.333/0001-46</t>
  </si>
  <si>
    <t>63180-000</t>
  </si>
  <si>
    <t>RODOVIA DR. ANTONIO LIRIO CALLOUnS/N</t>
  </si>
  <si>
    <t>Barbalha</t>
  </si>
  <si>
    <t>Leonardo Alves</t>
  </si>
  <si>
    <t>88 3532-7082</t>
  </si>
  <si>
    <t>leonardo.validacao@farmace.com.br</t>
  </si>
  <si>
    <t>Laboratil Farmacêutica Ltda.</t>
  </si>
  <si>
    <t>47.100.862/0001-50</t>
  </si>
  <si>
    <t>04810-050</t>
  </si>
  <si>
    <t>Rua Anibal dos A. Carvalho</t>
  </si>
  <si>
    <t>Amélia Nogueira</t>
  </si>
  <si>
    <t>(11) 4082-1904</t>
  </si>
  <si>
    <t>(11) 4082-1900</t>
  </si>
  <si>
    <t>anogueira@laboratil.com.br</t>
  </si>
  <si>
    <t>HALEX ISTAR INDUSTRIA FARMACEUTICA AS</t>
  </si>
  <si>
    <t>01.571.702/0008-64</t>
  </si>
  <si>
    <t>30200-302</t>
  </si>
  <si>
    <t xml:space="preserve">Rua Manoel Mavignier, 5000 </t>
  </si>
  <si>
    <t>Eusébio</t>
  </si>
  <si>
    <t>Francisco A.Neto</t>
  </si>
  <si>
    <t>(85) 3878-0900</t>
  </si>
  <si>
    <t xml:space="preserve"> 985 099201-3276</t>
  </si>
  <si>
    <t xml:space="preserve"> francisco.neto@halexistar.com.br</t>
  </si>
  <si>
    <t>Fabiani Saude Animal Ltda</t>
  </si>
  <si>
    <t>15.741.848/0001-49</t>
  </si>
  <si>
    <t>04730-050</t>
  </si>
  <si>
    <t>Rua Centro Africana, 219</t>
  </si>
  <si>
    <t>Adilson Querino</t>
  </si>
  <si>
    <t>Calibração</t>
  </si>
  <si>
    <t>(11) 2117-2337</t>
  </si>
  <si>
    <t>adilson.querino@fabianisaudeanimal.com.br</t>
  </si>
  <si>
    <t>CEVA - Sespo Indústria e Comércio Ltda</t>
  </si>
  <si>
    <t>50.464.692/0001-05</t>
  </si>
  <si>
    <t>13148-115</t>
  </si>
  <si>
    <t>Rua Manoel Joaquim Filho, 303</t>
  </si>
  <si>
    <t>Jose Lucas</t>
  </si>
  <si>
    <t>(19) 3833-7719</t>
  </si>
  <si>
    <t>jose-lucas.souza@ceva.com</t>
  </si>
  <si>
    <t>Momenta Farmaceutica Ltda</t>
  </si>
  <si>
    <t>14.806.008/0001-54</t>
  </si>
  <si>
    <t>02911-000</t>
  </si>
  <si>
    <t>Rua Eneas Luis Carlos Barbanti, 216</t>
  </si>
  <si>
    <t xml:space="preserve">Guilherme B. Dos Santos </t>
  </si>
  <si>
    <t>(11)4081-6200</t>
  </si>
  <si>
    <t>R 6105</t>
  </si>
  <si>
    <t>guilherme.bsantos@momentafarma.com.br</t>
  </si>
  <si>
    <t>Eurofarma Laboratorios S/A - Itapevi</t>
  </si>
  <si>
    <t>61.190.096/0008-69</t>
  </si>
  <si>
    <t>06696-000</t>
  </si>
  <si>
    <t>Rod. Pres. Castelo Branco, S/n</t>
  </si>
  <si>
    <t>Itapevi</t>
  </si>
  <si>
    <t>Wellington de O Viana</t>
  </si>
  <si>
    <t>BL7</t>
  </si>
  <si>
    <t>(11) 4144-9500</t>
  </si>
  <si>
    <t>R 9971</t>
  </si>
  <si>
    <t>wellington.viana@eurofarma.com</t>
  </si>
  <si>
    <t>União Quimica Internacional LTDA</t>
  </si>
  <si>
    <t>56.990.534/0001-67</t>
  </si>
  <si>
    <t>04708-010</t>
  </si>
  <si>
    <t>Cancioneiro de Évora N° 355</t>
  </si>
  <si>
    <t>Jorge Sampaio</t>
  </si>
  <si>
    <t>11 99165-7699</t>
  </si>
  <si>
    <t>Jsampaio@uniaoquimica.com.br</t>
  </si>
  <si>
    <t>Farmace Industria Quim. Farma. Cearense Ltda</t>
  </si>
  <si>
    <t>Rod. Dr. Antônio Lírio Callou, S/N – KM 02</t>
  </si>
  <si>
    <t>Maxwell Cortez</t>
  </si>
  <si>
    <t xml:space="preserve">(88) 3532-7000 </t>
  </si>
  <si>
    <t>Ramal: 7088</t>
  </si>
  <si>
    <t>maxwell.cortez@farmace.com.br</t>
  </si>
  <si>
    <t>Trouw Nutrition Brasil Nutricao Animal Ltda</t>
  </si>
  <si>
    <t>03.022.008/0001-47</t>
  </si>
  <si>
    <t>15132-112</t>
  </si>
  <si>
    <t>Av Pino Vendramini, 1550</t>
  </si>
  <si>
    <t>Mirassol</t>
  </si>
  <si>
    <t>Lucas O. Assis</t>
  </si>
  <si>
    <t>Compras CAPEX</t>
  </si>
  <si>
    <t>lucas.assis@trouwnutrition.com</t>
  </si>
  <si>
    <t>WORKING SERVIÇOS HOSPITALARES LTDA - ME</t>
  </si>
  <si>
    <t>19.524.342/0001-39</t>
  </si>
  <si>
    <t>03727 - 080</t>
  </si>
  <si>
    <t>Rua Souto Soares, 140</t>
  </si>
  <si>
    <t>Jefferson</t>
  </si>
  <si>
    <t>Comercial</t>
  </si>
  <si>
    <t>(11) 2625-21164</t>
  </si>
  <si>
    <t>(11) 3533-1606</t>
  </si>
  <si>
    <t>administrativo@workingservicos.com</t>
  </si>
  <si>
    <t>UNIMED de Lins Cooperativa de Trab. Médico</t>
  </si>
  <si>
    <t>71.695.746/0003-77</t>
  </si>
  <si>
    <t>16400-472</t>
  </si>
  <si>
    <t>Rua Luiz Gama, 1677</t>
  </si>
  <si>
    <t>JD. Arapuã</t>
  </si>
  <si>
    <t>Renato Silva</t>
  </si>
  <si>
    <t>(14) 3533-4834</t>
  </si>
  <si>
    <t>manutencao@unimedlins.com.br</t>
  </si>
  <si>
    <t>Primaserv Inst. E montagem de equip. LTDA-ME</t>
  </si>
  <si>
    <t>27.899.309/0001-11</t>
  </si>
  <si>
    <t>03733-000</t>
  </si>
  <si>
    <t>Av. Tarumã, 664 SL04</t>
  </si>
  <si>
    <t>Renato</t>
  </si>
  <si>
    <t>CEO</t>
  </si>
  <si>
    <t>(11) 2958-0036</t>
  </si>
  <si>
    <t>(11) 97320-9137</t>
  </si>
  <si>
    <t>renato@primaservps.com.br</t>
  </si>
  <si>
    <t>HIPOLABOR FARMACEUTICA LTDA</t>
  </si>
  <si>
    <t>19.570.720/0007-06</t>
  </si>
  <si>
    <t>39404-621</t>
  </si>
  <si>
    <t>Av. Das Industrias, 263</t>
  </si>
  <si>
    <t>Montes Claros</t>
  </si>
  <si>
    <t>Davi Matos</t>
  </si>
  <si>
    <t>(38) 9 8811-1049</t>
  </si>
  <si>
    <t>gevl01.moc@hipolabor.com.br</t>
  </si>
  <si>
    <t>Unimed de Araraquara Cooperativa de Trab.</t>
  </si>
  <si>
    <t>45.272.366/0015-53</t>
  </si>
  <si>
    <t>14802-412</t>
  </si>
  <si>
    <t>Rua Major Carvalho Filho, 1550</t>
  </si>
  <si>
    <t>Araraquara</t>
  </si>
  <si>
    <t>Cláudia</t>
  </si>
  <si>
    <t>(16) 9 9605-2349</t>
  </si>
  <si>
    <t>ccoliveira@unimedara.com.br</t>
  </si>
  <si>
    <t>Hospital Leforte</t>
  </si>
  <si>
    <t>46.543.781/0011-33</t>
  </si>
  <si>
    <t>Cross Filter Brasil LTDA</t>
  </si>
  <si>
    <t>00.281.679/0001-34</t>
  </si>
  <si>
    <t>13050-066</t>
  </si>
  <si>
    <t>R. Das Azaleias, 110</t>
  </si>
  <si>
    <t xml:space="preserve">São Paulo </t>
  </si>
  <si>
    <t>Emilio Pasetti</t>
  </si>
  <si>
    <t>(11) 2619-6766</t>
  </si>
  <si>
    <t>(11) 98345-5807</t>
  </si>
  <si>
    <t>vendastecnicas1@crossfilter.com.br</t>
  </si>
  <si>
    <t>ADV Farma</t>
  </si>
  <si>
    <t>60.879.848/0001-64</t>
  </si>
  <si>
    <t>13380-240</t>
  </si>
  <si>
    <t>Av. Ampélio Gazzetta, 4200</t>
  </si>
  <si>
    <t>Nova Odessa</t>
  </si>
  <si>
    <t>Igor Piotto</t>
  </si>
  <si>
    <t>Operações</t>
  </si>
  <si>
    <t>(19) 3476-8550</t>
  </si>
  <si>
    <t>(11) 99990-6643</t>
  </si>
  <si>
    <t>igor.piotto@advfarma.com.br</t>
  </si>
  <si>
    <t>ANOVIS Ind. Farmacêuitca LTDA</t>
  </si>
  <si>
    <t>19.426.695/0001-04</t>
  </si>
  <si>
    <t>06785-300</t>
  </si>
  <si>
    <t>Av. Ibirama, 518</t>
  </si>
  <si>
    <t>Tabão da Serra</t>
  </si>
  <si>
    <t>Carlos Alexandre</t>
  </si>
  <si>
    <t>(11) 4788-9968</t>
  </si>
  <si>
    <t>casousa@uniaoquimica.com.br</t>
  </si>
  <si>
    <t>Oriontech Filtros Com. E Consultoria</t>
  </si>
  <si>
    <t>32.862.400/0001-00</t>
  </si>
  <si>
    <t>06803-290</t>
  </si>
  <si>
    <t>Rua Solano Trindade</t>
  </si>
  <si>
    <t>Embu das Artes</t>
  </si>
  <si>
    <t>Auro Wolff</t>
  </si>
  <si>
    <t>Desenvolvimento</t>
  </si>
  <si>
    <t>(11) 4557-0582</t>
  </si>
  <si>
    <t>(11) 9 8553-0484</t>
  </si>
  <si>
    <t>auro.wolff@oriontechfiltros.com.br</t>
  </si>
  <si>
    <t>Cellera Farmaceutica S.A.</t>
  </si>
  <si>
    <t>33.173.097/0002-74</t>
  </si>
  <si>
    <t>13347-310</t>
  </si>
  <si>
    <t>Alameda do Capovilla, 129</t>
  </si>
  <si>
    <t>Indaiatuba</t>
  </si>
  <si>
    <t>Igor Vernier</t>
  </si>
  <si>
    <t>Engenharia</t>
  </si>
  <si>
    <t>(11) 98527-0029</t>
  </si>
  <si>
    <t>igor.vernier@cellerafarma.com.br</t>
  </si>
  <si>
    <t>Arese Pharma LTDA.</t>
  </si>
  <si>
    <t>07.670.111/0001-54</t>
  </si>
  <si>
    <t>13273-902</t>
  </si>
  <si>
    <t>Marginal A. Rod. Dom Pedro 1, 1081</t>
  </si>
  <si>
    <t>Valinhos</t>
  </si>
  <si>
    <t>Fernanda Macarini</t>
  </si>
  <si>
    <t>(11) 96750-6047</t>
  </si>
  <si>
    <t>(19) 3829-6600</t>
  </si>
  <si>
    <t>fernanda.macarini@arese.com.br</t>
  </si>
  <si>
    <t>Metal Limpo Conexões Santárias LTDA</t>
  </si>
  <si>
    <t>04.386.988/0001-20</t>
  </si>
  <si>
    <t>02188-070</t>
  </si>
  <si>
    <t>R. Srg. Jeter Augusto Pereira, 341</t>
  </si>
  <si>
    <t>Pq. Novo Mundo</t>
  </si>
  <si>
    <t>Daniel Takamoto</t>
  </si>
  <si>
    <t>(11) 9 8257-5501</t>
  </si>
  <si>
    <t>(11) 2207-7476</t>
  </si>
  <si>
    <t>daniel@metallimpo.com.br</t>
  </si>
  <si>
    <t>WATERPURE SIST. TRATAMENTO DE ÁGUA LTDA</t>
  </si>
  <si>
    <t>05.742.680/0001-32</t>
  </si>
  <si>
    <t>06709-450</t>
  </si>
  <si>
    <t>Rua Sítio do Ribeirão n° 523</t>
  </si>
  <si>
    <t>Wellington Novaes</t>
  </si>
  <si>
    <t>(11) 4777-1551</t>
  </si>
  <si>
    <t>(11) 9 8923-1551</t>
  </si>
  <si>
    <t>wellington@waterpure.com.br</t>
  </si>
  <si>
    <t>SYNTECH RESEARCH LABORATORIO BRASIL LTDA</t>
  </si>
  <si>
    <t>24 950 006 0001-98</t>
  </si>
  <si>
    <t>04057-000</t>
  </si>
  <si>
    <t>Av. José Maria Whitaker</t>
  </si>
  <si>
    <t>Debora A. Pereira</t>
  </si>
  <si>
    <t>(11) 4302-2883</t>
  </si>
  <si>
    <t>(15) 9 9694-2999</t>
  </si>
  <si>
    <t>debora.alves@syntechresearch.com</t>
  </si>
  <si>
    <t>25 950 006 0001-98</t>
  </si>
  <si>
    <t xml:space="preserve">Rua isaltino degaspari 300 </t>
  </si>
  <si>
    <t>Piracicaba</t>
  </si>
  <si>
    <t>Natulab Laboratório S. A.</t>
  </si>
  <si>
    <t>02.456.955/0001-83</t>
  </si>
  <si>
    <t>44444-312</t>
  </si>
  <si>
    <t>R. Jose Rocha Galvao</t>
  </si>
  <si>
    <t>Salgadeira</t>
  </si>
  <si>
    <t>BA</t>
  </si>
  <si>
    <t>Fabio Holffmam</t>
  </si>
  <si>
    <t>(75) 4444-4312</t>
  </si>
  <si>
    <t>fabiohoffmann@natulab.com.br&gt;</t>
  </si>
  <si>
    <t>Rodovia BR-262, Km 12,3</t>
  </si>
  <si>
    <t>Sabará</t>
  </si>
  <si>
    <t>NUTRIEX IND. DE NUTRACEUTICOS LTDA - ME</t>
  </si>
  <si>
    <t>22.966.065/0001-29</t>
  </si>
  <si>
    <t>74850-370</t>
  </si>
  <si>
    <t>ROD. BR-153,QUAD. AREA LOTE1</t>
  </si>
  <si>
    <t>FAZ. BOTAFOGO</t>
  </si>
  <si>
    <t>Kassyus Santos</t>
  </si>
  <si>
    <t>(62) 3272-8965</t>
  </si>
  <si>
    <t>(62) 9520-7000</t>
  </si>
  <si>
    <t>kassyus.silva@nutriex.com.br</t>
  </si>
  <si>
    <t>Laboratório Tiaraju Alimentos e Cosméticos S/A</t>
  </si>
  <si>
    <t>08.352.440/0001-10</t>
  </si>
  <si>
    <t>98.805-678</t>
  </si>
  <si>
    <t>Avenida Sagrada Família, 2924</t>
  </si>
  <si>
    <t>Santo Ângelo</t>
  </si>
  <si>
    <t>RG</t>
  </si>
  <si>
    <t>Rafael Machado</t>
  </si>
  <si>
    <t>(55) 3314-7103</t>
  </si>
  <si>
    <t>(55) 99601-4564</t>
  </si>
  <si>
    <t>rafael.machado@tiaraju.com.br</t>
  </si>
  <si>
    <t>BIOTIMIZE SOLUÇÕES EM ENGENHARIA LTDA</t>
  </si>
  <si>
    <t>24.420.890/0001-59</t>
  </si>
  <si>
    <t>13415-000</t>
  </si>
  <si>
    <t>Av. Comendador Pedro Morganti, 5215</t>
  </si>
  <si>
    <t>Alan Silva</t>
  </si>
  <si>
    <t>P&amp;D</t>
  </si>
  <si>
    <t>(19) 98300-2340</t>
  </si>
  <si>
    <t>alan.silva@biotimize.com.br</t>
  </si>
  <si>
    <t>Farmausa Life Science LTDA</t>
  </si>
  <si>
    <t>41.913.600/0001-28</t>
  </si>
  <si>
    <t>05802-140</t>
  </si>
  <si>
    <t>Av Guido Caloi</t>
  </si>
  <si>
    <t>Marcel Ferreira</t>
  </si>
  <si>
    <t>(11) 4040-9644</t>
  </si>
  <si>
    <t>(11) 4040-8103</t>
  </si>
  <si>
    <t>coord.manutencao@farmausalifescience.com</t>
  </si>
  <si>
    <t>MKG Equipamentos Ltda</t>
  </si>
  <si>
    <t>09.282.289/0003-15.</t>
  </si>
  <si>
    <t>07043-050</t>
  </si>
  <si>
    <t>Rua Italiana, 248</t>
  </si>
  <si>
    <t>Danilo Langellotti</t>
  </si>
  <si>
    <t>(11) 35798959</t>
  </si>
  <si>
    <t>(11) 9 9888-3406</t>
  </si>
  <si>
    <t>danilo@mkgbrasil.com.br</t>
  </si>
  <si>
    <t>HEBE'S LIFE SCIENCE LTDA</t>
  </si>
  <si>
    <t>41.513.576/0001-30</t>
  </si>
  <si>
    <t>87020-025</t>
  </si>
  <si>
    <t>AV DUQUE DE CAXIAS</t>
  </si>
  <si>
    <t>Maringa</t>
  </si>
  <si>
    <t xml:space="preserve">Guilherme Godoy </t>
  </si>
  <si>
    <t>(44) 9 9994 8302</t>
  </si>
  <si>
    <t>guilherme@hebes.com.br</t>
  </si>
  <si>
    <t>Avenida Guido Caloi</t>
  </si>
  <si>
    <t>Lucas Medeiros</t>
  </si>
  <si>
    <t>Comprador</t>
  </si>
  <si>
    <t>(24) 99317-0954</t>
  </si>
  <si>
    <t>suporte.compras@farmausa.com</t>
  </si>
  <si>
    <t>River City Biotecnologia LTDA</t>
  </si>
  <si>
    <t>11.473.175/0001-32</t>
  </si>
  <si>
    <t>074474-203</t>
  </si>
  <si>
    <t>AV Da Sede</t>
  </si>
  <si>
    <t>Heitor Cotrim</t>
  </si>
  <si>
    <t>(62) 9 9408-4212</t>
  </si>
  <si>
    <t>(11) 9 9209-5760</t>
  </si>
  <si>
    <t>heitor@rivercitybio.com.br</t>
  </si>
  <si>
    <t>Analista de Garantia da Qualidade - V</t>
  </si>
  <si>
    <t>Pesquisadora – Desenvolvimento de Novos
Produtos</t>
  </si>
  <si>
    <t>Coordenadora – Desenvolvimento de Novos
Produtos – Unidade I</t>
  </si>
  <si>
    <t>Lote</t>
  </si>
  <si>
    <t>Opticap XL2 Durapore  0.22 µm 1-1/2 in. TC/TC</t>
  </si>
  <si>
    <t>Des. Membrana 47mm</t>
  </si>
  <si>
    <t>Durapore Membrane Filter, 0.22 µm</t>
  </si>
  <si>
    <t xml:space="preserve">GVWP04700 </t>
  </si>
  <si>
    <t>Tamanho Estrutural</t>
  </si>
  <si>
    <t>2"</t>
  </si>
  <si>
    <t>Tamanho do Poro</t>
  </si>
  <si>
    <t xml:space="preserve"> 0.22 µm</t>
  </si>
  <si>
    <t>Tipo de Conexão</t>
  </si>
  <si>
    <t>Sanitária 1.1/2in</t>
  </si>
  <si>
    <t>47mm</t>
  </si>
  <si>
    <t>Holder 47mm</t>
  </si>
  <si>
    <t>Nome</t>
  </si>
  <si>
    <t>Serial</t>
  </si>
  <si>
    <t>#1</t>
  </si>
  <si>
    <t>#2</t>
  </si>
  <si>
    <t>#3</t>
  </si>
  <si>
    <t>ID Ponto de Coleta</t>
  </si>
  <si>
    <t>Temperatura ºC</t>
  </si>
  <si>
    <t>17.7</t>
  </si>
  <si>
    <t>ID ponto de Ar</t>
  </si>
  <si>
    <t>Tipo de Gás</t>
  </si>
  <si>
    <t>N/A</t>
  </si>
  <si>
    <t>Ponto de Bolha Min.</t>
  </si>
  <si>
    <t>Fluxo Difusivo</t>
  </si>
  <si>
    <t>Departamento</t>
  </si>
  <si>
    <t xml:space="preserve">(11) 4613-5894 </t>
  </si>
  <si>
    <t>Serial Membrana</t>
  </si>
  <si>
    <t>Peso I</t>
  </si>
  <si>
    <t>Peso F</t>
  </si>
  <si>
    <t>Data I</t>
  </si>
  <si>
    <t>Data F</t>
  </si>
  <si>
    <t>Tempo Total</t>
  </si>
  <si>
    <t>Temperatura Local I</t>
  </si>
  <si>
    <t>Temperatura F</t>
  </si>
  <si>
    <t>Umidade Local I</t>
  </si>
  <si>
    <t>Um. Local F</t>
  </si>
  <si>
    <t>Media %</t>
  </si>
  <si>
    <t>Volume Referencial (mL)</t>
  </si>
  <si>
    <t>Teste de Integridade WFI (psi)</t>
  </si>
  <si>
    <t>Teste de Integridade Produto(psi)</t>
  </si>
  <si>
    <t>ID do Teste</t>
  </si>
  <si>
    <t>PB Min Calculado</t>
  </si>
  <si>
    <t>RPB</t>
  </si>
  <si>
    <t>Membrana 1</t>
  </si>
  <si>
    <t>Membrana 2</t>
  </si>
  <si>
    <t>Membrana 3</t>
  </si>
  <si>
    <t>PB Estimado</t>
  </si>
  <si>
    <t>Resultado de Teste</t>
  </si>
  <si>
    <t>Dados do Cliente</t>
  </si>
  <si>
    <t>Dados dos elementos Filtrante</t>
  </si>
  <si>
    <t>ENTRADA E PROCESSAMENTO DE DADOS BRUTOS</t>
  </si>
  <si>
    <t>Dispositivo</t>
  </si>
  <si>
    <t>ID Do Projeto</t>
  </si>
  <si>
    <t>Label</t>
  </si>
  <si>
    <t>L_01</t>
  </si>
  <si>
    <t>L_02</t>
  </si>
  <si>
    <t>L_03</t>
  </si>
  <si>
    <t>L_04</t>
  </si>
  <si>
    <t>L_05</t>
  </si>
  <si>
    <t>L_06</t>
  </si>
  <si>
    <t>L_07</t>
  </si>
  <si>
    <t>L_08</t>
  </si>
  <si>
    <t>L_09</t>
  </si>
  <si>
    <t>L_10</t>
  </si>
  <si>
    <t>L_11</t>
  </si>
  <si>
    <t>L_12</t>
  </si>
  <si>
    <t>L_13</t>
  </si>
  <si>
    <t>L_14</t>
  </si>
  <si>
    <t>L_15</t>
  </si>
  <si>
    <t>L_16</t>
  </si>
  <si>
    <t>L_17</t>
  </si>
  <si>
    <t>L_18</t>
  </si>
  <si>
    <t>L_19</t>
  </si>
  <si>
    <t>L_20</t>
  </si>
  <si>
    <t>L_21</t>
  </si>
  <si>
    <t>L_22</t>
  </si>
  <si>
    <t>L_23</t>
  </si>
  <si>
    <t>L_24</t>
  </si>
  <si>
    <t>L_25</t>
  </si>
  <si>
    <t>L_26</t>
  </si>
  <si>
    <t>L_27</t>
  </si>
  <si>
    <t>L_28</t>
  </si>
  <si>
    <t>L_29</t>
  </si>
  <si>
    <t>L_30</t>
  </si>
  <si>
    <t>L_31</t>
  </si>
  <si>
    <t>L_32</t>
  </si>
  <si>
    <t>L_33</t>
  </si>
  <si>
    <t>L_34</t>
  </si>
  <si>
    <t>L_35</t>
  </si>
  <si>
    <t>L_36</t>
  </si>
  <si>
    <t>L_37</t>
  </si>
  <si>
    <t>L_38</t>
  </si>
  <si>
    <t>L_39</t>
  </si>
  <si>
    <t>L_40</t>
  </si>
  <si>
    <t>L_41</t>
  </si>
  <si>
    <t>L_42</t>
  </si>
  <si>
    <t>L_43</t>
  </si>
  <si>
    <t>L_44</t>
  </si>
  <si>
    <t>L_45</t>
  </si>
  <si>
    <t>L_46</t>
  </si>
  <si>
    <t>L_47</t>
  </si>
  <si>
    <t>L_48</t>
  </si>
  <si>
    <t>L_49</t>
  </si>
  <si>
    <t>L_50</t>
  </si>
  <si>
    <t>L_51</t>
  </si>
  <si>
    <t>L_52</t>
  </si>
  <si>
    <t>L_53</t>
  </si>
  <si>
    <t>L_54</t>
  </si>
  <si>
    <t>L_55</t>
  </si>
  <si>
    <t>L_56</t>
  </si>
  <si>
    <t>L_57</t>
  </si>
  <si>
    <t>L_58</t>
  </si>
  <si>
    <t>L_59</t>
  </si>
  <si>
    <t>L_60</t>
  </si>
  <si>
    <t>L_61</t>
  </si>
  <si>
    <t>L_62</t>
  </si>
  <si>
    <t>L_63</t>
  </si>
  <si>
    <t>L_64</t>
  </si>
  <si>
    <t>L_65</t>
  </si>
  <si>
    <t>L_66</t>
  </si>
  <si>
    <t>L_67</t>
  </si>
  <si>
    <t>L_68</t>
  </si>
  <si>
    <t>L_69</t>
  </si>
  <si>
    <t>L_70</t>
  </si>
  <si>
    <t>L_71</t>
  </si>
  <si>
    <t>L_72</t>
  </si>
  <si>
    <t>L_73</t>
  </si>
  <si>
    <t>L_74</t>
  </si>
  <si>
    <t>L_75</t>
  </si>
  <si>
    <t>L_76</t>
  </si>
  <si>
    <t>L_77</t>
  </si>
  <si>
    <t>L_78</t>
  </si>
  <si>
    <t>L_79</t>
  </si>
  <si>
    <t>L_80</t>
  </si>
  <si>
    <t>L_81</t>
  </si>
  <si>
    <t>ID</t>
  </si>
  <si>
    <t>L_09A</t>
  </si>
  <si>
    <t>L_010A</t>
  </si>
  <si>
    <t>L_57A</t>
  </si>
  <si>
    <t>L_57B</t>
  </si>
  <si>
    <t>L_58A</t>
  </si>
  <si>
    <t>L_58B</t>
  </si>
  <si>
    <t>L_59A</t>
  </si>
  <si>
    <t>L_59B</t>
  </si>
  <si>
    <t>L_59C</t>
  </si>
  <si>
    <t>L_62A</t>
  </si>
  <si>
    <t>L_61B</t>
  </si>
  <si>
    <t>L_61A</t>
  </si>
  <si>
    <t>L_61C</t>
  </si>
  <si>
    <t>L_61D</t>
  </si>
  <si>
    <t>L_62B</t>
  </si>
  <si>
    <t>L_62C</t>
  </si>
  <si>
    <t>L_62D</t>
  </si>
  <si>
    <t>L_63A</t>
  </si>
  <si>
    <t>L_63B</t>
  </si>
  <si>
    <t>L_63C</t>
  </si>
  <si>
    <t>L_63D</t>
  </si>
  <si>
    <t>L_63F</t>
  </si>
  <si>
    <t>L_64A</t>
  </si>
  <si>
    <t>L_65A</t>
  </si>
  <si>
    <t>L_66A</t>
  </si>
  <si>
    <t>L_67A</t>
  </si>
  <si>
    <t>L_68A</t>
  </si>
  <si>
    <t>L_69A</t>
  </si>
  <si>
    <t>L_70A</t>
  </si>
  <si>
    <t>L_71A</t>
  </si>
  <si>
    <t>L_25A</t>
  </si>
  <si>
    <t>Fabricante</t>
  </si>
  <si>
    <t>Merck Millipore</t>
  </si>
  <si>
    <t>L_05A</t>
  </si>
  <si>
    <t>E-mail</t>
  </si>
  <si>
    <t>L_16A</t>
  </si>
  <si>
    <t>Comentário_1</t>
  </si>
  <si>
    <t>L_08A</t>
  </si>
  <si>
    <t>Comentário_2</t>
  </si>
  <si>
    <t>L_08B</t>
  </si>
  <si>
    <t>L_82</t>
  </si>
  <si>
    <t>L_83</t>
  </si>
  <si>
    <t>L_84</t>
  </si>
  <si>
    <t>Teste de Integridade WFI (psi) - Final</t>
  </si>
  <si>
    <t>L_73A</t>
  </si>
  <si>
    <t>L_74A</t>
  </si>
  <si>
    <t>L_74B</t>
  </si>
  <si>
    <t>L_72A</t>
  </si>
  <si>
    <t>Conclusão</t>
  </si>
  <si>
    <t>L_85</t>
  </si>
  <si>
    <t>Campo</t>
  </si>
  <si>
    <t>Peso</t>
  </si>
  <si>
    <t>Resultado</t>
  </si>
  <si>
    <t>TI  Padrão</t>
  </si>
  <si>
    <t>TI Produto</t>
  </si>
  <si>
    <t>L_86</t>
  </si>
  <si>
    <t>L_87</t>
  </si>
  <si>
    <t>L_88</t>
  </si>
  <si>
    <t>Tempo (s)</t>
  </si>
  <si>
    <t>Media TI WFI</t>
  </si>
  <si>
    <t>TI Dispositivo</t>
  </si>
  <si>
    <t>Temp. Contato</t>
  </si>
  <si>
    <t>Range Temperatura</t>
  </si>
  <si>
    <t>Cond. Visual</t>
  </si>
  <si>
    <t>L_89</t>
  </si>
  <si>
    <t>L_90</t>
  </si>
  <si>
    <t>L_91</t>
  </si>
  <si>
    <t>L_92</t>
  </si>
  <si>
    <t>Media TI Produto</t>
  </si>
  <si>
    <t>Tempo de Contato (h)</t>
  </si>
  <si>
    <t>Media Tempo Local</t>
  </si>
  <si>
    <t>L_93</t>
  </si>
  <si>
    <t>L_94</t>
  </si>
  <si>
    <t>L_95</t>
  </si>
  <si>
    <t>Ver. 1.1</t>
  </si>
  <si>
    <t>Aprovado</t>
  </si>
  <si>
    <t>R-PB_20250324015148</t>
  </si>
  <si>
    <t>Nitrogênio</t>
  </si>
  <si>
    <t>Intervalo de Temperatura ºC</t>
  </si>
  <si>
    <t>Mínimo</t>
  </si>
  <si>
    <t>Máximo</t>
  </si>
  <si>
    <t>Aprovação 1</t>
  </si>
  <si>
    <t>Aprovação 2</t>
  </si>
  <si>
    <t>Aprovação 3</t>
  </si>
  <si>
    <t>Aprovação 4</t>
  </si>
  <si>
    <t>Descrição Dispositivo</t>
  </si>
  <si>
    <t>Catálogo Memb. 47mm</t>
  </si>
  <si>
    <t>Volume Disponível</t>
  </si>
  <si>
    <t>Ref./Serial</t>
  </si>
  <si>
    <t>Variação P</t>
  </si>
  <si>
    <t>Variação V</t>
  </si>
  <si>
    <t>Tempo de Secagem Determinado (min) Ventilação Mecânica)</t>
  </si>
  <si>
    <t>Critério</t>
  </si>
  <si>
    <t>Vazão</t>
  </si>
  <si>
    <t>Revisão do Relatório</t>
  </si>
  <si>
    <t xml:space="preserve">Razão Social </t>
  </si>
  <si>
    <t>Endereço</t>
  </si>
  <si>
    <t>Estudo realizado na Unidade 5 - SP</t>
  </si>
  <si>
    <t>**********</t>
  </si>
  <si>
    <t>L_40A</t>
  </si>
  <si>
    <t>Area efetiva da membrana</t>
  </si>
  <si>
    <t>20250310131018</t>
  </si>
  <si>
    <t>20250310133250</t>
  </si>
  <si>
    <t>20250310140042</t>
  </si>
  <si>
    <t>20250311154418</t>
  </si>
  <si>
    <t>20250311160509</t>
  </si>
  <si>
    <t>20250311162649</t>
  </si>
  <si>
    <t>20250311194739</t>
  </si>
  <si>
    <t>20250311191628</t>
  </si>
  <si>
    <t>20250311182324</t>
  </si>
  <si>
    <t>20250312081339</t>
  </si>
  <si>
    <t>Lote:</t>
  </si>
  <si>
    <t>L_53A</t>
  </si>
  <si>
    <t>L_96</t>
  </si>
  <si>
    <t>279/25</t>
  </si>
  <si>
    <t>Conferencia</t>
  </si>
  <si>
    <t>Padrao</t>
  </si>
  <si>
    <t>RPG</t>
  </si>
  <si>
    <t>DP. RPB</t>
  </si>
  <si>
    <t>% CV RPB</t>
  </si>
  <si>
    <t xml:space="preserve">Reverso </t>
  </si>
  <si>
    <t>Excel (s)</t>
  </si>
  <si>
    <t>Cronometro (min)</t>
  </si>
  <si>
    <t>44.734.671/0023-67</t>
  </si>
  <si>
    <t>Rua Tomas Sepe, 489</t>
  </si>
  <si>
    <t xml:space="preserve">Cotia </t>
  </si>
  <si>
    <t>(11) 4613-5893</t>
  </si>
  <si>
    <t>PB Estsimado</t>
  </si>
  <si>
    <t>Média (RPB)</t>
  </si>
  <si>
    <t>13974-900</t>
  </si>
  <si>
    <t>Rod. Itapira Lindoia S/N, KM 14</t>
  </si>
  <si>
    <t>Itapira</t>
  </si>
  <si>
    <t>Convertido Inicial</t>
  </si>
  <si>
    <t>Coletado Inicial</t>
  </si>
  <si>
    <t>Coletado Final</t>
  </si>
  <si>
    <t>Convertido Final</t>
  </si>
  <si>
    <t>Tempo Inicial (min)</t>
  </si>
  <si>
    <t>Tempo Final (min)</t>
  </si>
  <si>
    <t>Planilha</t>
  </si>
  <si>
    <t xml:space="preserve">Paloma R. dos Santos </t>
  </si>
  <si>
    <t>Analista de Garantia da Qualidade</t>
  </si>
  <si>
    <t xml:space="preserve">(11) 3732-2377 </t>
  </si>
  <si>
    <t>paloma.ramalho@cristalia.com.br</t>
  </si>
  <si>
    <t xml:space="preserve">Bianca Faccioli Ehmke </t>
  </si>
  <si>
    <t>Pesquisadora - DNP</t>
  </si>
  <si>
    <t xml:space="preserve">Marcia Duarte Adorne </t>
  </si>
  <si>
    <t>Coordenadora Pesquisa &amp; Desenvolvimento
Produtos – Unidade I</t>
  </si>
  <si>
    <t>KVGLA04TT3</t>
  </si>
  <si>
    <t>0301</t>
  </si>
  <si>
    <t>4"</t>
  </si>
  <si>
    <t>0.19 m²</t>
  </si>
  <si>
    <t>0000214775</t>
  </si>
  <si>
    <t>0000180621</t>
  </si>
  <si>
    <t>20250505104925</t>
  </si>
  <si>
    <t>20250505111403</t>
  </si>
  <si>
    <t>20250505113236</t>
  </si>
  <si>
    <t>20250506162915</t>
  </si>
  <si>
    <t>20250506165754</t>
  </si>
  <si>
    <t>20250506172352</t>
  </si>
  <si>
    <t>20250506175947</t>
  </si>
  <si>
    <t>20250506182229</t>
  </si>
  <si>
    <t>20250506183936</t>
  </si>
  <si>
    <t>20250506191941</t>
  </si>
  <si>
    <t>R-CQ_20250509145107</t>
  </si>
  <si>
    <t>Opticap XL4 Durapore  0.22 µm 1-1/2 in. TC/TC</t>
  </si>
  <si>
    <t>C2HB84425Z</t>
  </si>
  <si>
    <t>0583</t>
  </si>
  <si>
    <t>0499/25</t>
  </si>
  <si>
    <t>20250505115153</t>
  </si>
  <si>
    <t>20250505122405</t>
  </si>
  <si>
    <t>20250505143536</t>
  </si>
  <si>
    <t>TI DISPOSITIVO</t>
  </si>
  <si>
    <t xml:space="preserve">PRODUTO </t>
  </si>
  <si>
    <t>20250507093550</t>
  </si>
  <si>
    <t>20250507095509</t>
  </si>
  <si>
    <t>20250507102400</t>
  </si>
  <si>
    <t>20250507110332</t>
  </si>
  <si>
    <t>20250507112058</t>
  </si>
  <si>
    <t>20250507113657</t>
  </si>
  <si>
    <t>20250507115547</t>
  </si>
  <si>
    <t>20250507121820</t>
  </si>
  <si>
    <t xml:space="preserve">Folinato de Cálcio 10mg/ml </t>
  </si>
  <si>
    <t>R-CQ_20250513155753</t>
  </si>
  <si>
    <t>Himitartarato de Norepinefrina Monoidratada 2mg/ml</t>
  </si>
  <si>
    <t>C4JB61103</t>
  </si>
  <si>
    <t>00050026079</t>
  </si>
  <si>
    <t>Vazão Iinial  (ml)</t>
  </si>
  <si>
    <t>Vazão Final (ml)</t>
  </si>
  <si>
    <t>L_79A</t>
  </si>
  <si>
    <t>L_77A</t>
  </si>
  <si>
    <t>20250506194538</t>
  </si>
  <si>
    <t>Estudo realizado na Unidade 8 - MG</t>
  </si>
  <si>
    <t>Clara Tayt-son R. dos Santos</t>
  </si>
  <si>
    <t>clara.santos@cristalia.com.br</t>
  </si>
  <si>
    <t>Fernanda Kelly da Costa</t>
  </si>
  <si>
    <t>************</t>
  </si>
  <si>
    <t>C3MB30106</t>
  </si>
  <si>
    <t>0010</t>
  </si>
  <si>
    <t>R0JB83586</t>
  </si>
  <si>
    <t>Dimorf 10mg/ml Sol. Inj.</t>
  </si>
  <si>
    <t>20250526104946</t>
  </si>
  <si>
    <t>20250526111128</t>
  </si>
  <si>
    <t>20250526113116</t>
  </si>
  <si>
    <t>20250527123325</t>
  </si>
  <si>
    <t>20250527125733</t>
  </si>
  <si>
    <t>20250547132230</t>
  </si>
  <si>
    <t>20250527134415</t>
  </si>
  <si>
    <t>20250527140639</t>
  </si>
  <si>
    <t>20250527142455</t>
  </si>
  <si>
    <t>A1=25/05/2025</t>
  </si>
  <si>
    <t>B1=11:30</t>
  </si>
  <si>
    <t>C1=26/05/2025</t>
  </si>
  <si>
    <t>D1=12:00</t>
  </si>
  <si>
    <t>3 = =(C1+D1)-(A1+B1)</t>
  </si>
  <si>
    <t>R-CQ_20250529152309</t>
  </si>
  <si>
    <t>20250527145611</t>
  </si>
  <si>
    <t>20250527153242</t>
  </si>
  <si>
    <t>Reprovado</t>
  </si>
  <si>
    <t>24:30</t>
  </si>
  <si>
    <t>R-CQ_20250624145256</t>
  </si>
  <si>
    <t>Estudo realizado na Unidade V - SP</t>
  </si>
  <si>
    <t>C3PB62387</t>
  </si>
  <si>
    <t>0476</t>
  </si>
  <si>
    <t>Carmelose Sódica 0,5% Sol. Oft.</t>
  </si>
  <si>
    <t>0688/25</t>
  </si>
  <si>
    <t>20250616093915</t>
  </si>
  <si>
    <t>20250616095908</t>
  </si>
  <si>
    <t>20250616101850</t>
  </si>
  <si>
    <t>20250617112652</t>
  </si>
  <si>
    <t>20250617115325</t>
  </si>
  <si>
    <t>20250617121808</t>
  </si>
  <si>
    <t>20250617141208</t>
  </si>
  <si>
    <t>20250617154025</t>
  </si>
  <si>
    <t>20250617144257</t>
  </si>
  <si>
    <t>20250617151930</t>
  </si>
  <si>
    <t>2025061715515</t>
  </si>
  <si>
    <t>24:40</t>
  </si>
  <si>
    <t>R-CQ_20250710151258</t>
  </si>
  <si>
    <t>Paloma R. dos Santos</t>
  </si>
  <si>
    <t xml:space="preserve">Isabella de Oliveira Felipe </t>
  </si>
  <si>
    <t>0559</t>
  </si>
  <si>
    <t>18.0</t>
  </si>
  <si>
    <t>Xylestesin 2% Isobárico</t>
  </si>
  <si>
    <t>0815/25</t>
  </si>
  <si>
    <t>20250701092059</t>
  </si>
  <si>
    <t>20250701094601</t>
  </si>
  <si>
    <t>20250701101734</t>
  </si>
  <si>
    <t>20250702110927</t>
  </si>
  <si>
    <t>20250702113348</t>
  </si>
  <si>
    <t>20250702122351</t>
  </si>
  <si>
    <t>20250702140254</t>
  </si>
  <si>
    <t>20250702141318</t>
  </si>
  <si>
    <t>20250702142441</t>
  </si>
  <si>
    <t>20250702125226</t>
  </si>
  <si>
    <t>20250702143720</t>
  </si>
  <si>
    <t>24:09</t>
  </si>
  <si>
    <t>R-CQ_20250710152802</t>
  </si>
  <si>
    <t>17.8</t>
  </si>
  <si>
    <t>Thaís Queiroz dos Santos</t>
  </si>
  <si>
    <t>0582</t>
  </si>
  <si>
    <t>Brometo de Pancurônio 2mg/mL Solução Injetável</t>
  </si>
  <si>
    <t>0018/25</t>
  </si>
  <si>
    <t>20250701112353</t>
  </si>
  <si>
    <t>20250701113547</t>
  </si>
  <si>
    <t>20250701103005</t>
  </si>
  <si>
    <t>20250702145616</t>
  </si>
  <si>
    <t>20250702152225</t>
  </si>
  <si>
    <t>20250702155015</t>
  </si>
  <si>
    <t>20250702161919</t>
  </si>
  <si>
    <t>20250702163430</t>
  </si>
  <si>
    <t>20250702164918</t>
  </si>
  <si>
    <t>20250702170608</t>
  </si>
  <si>
    <t>20250703081001</t>
  </si>
  <si>
    <t>26:35</t>
  </si>
  <si>
    <t>R-CQ_20250710154141</t>
  </si>
  <si>
    <t xml:space="preserve">Rodolfo Lucas Rodrigues </t>
  </si>
  <si>
    <t>Pesquisador - DNP</t>
  </si>
  <si>
    <t>C35B63092</t>
  </si>
  <si>
    <t>0552</t>
  </si>
  <si>
    <t>Vasopressina 20 U/mL sol.inj</t>
  </si>
  <si>
    <t>0891/25</t>
  </si>
  <si>
    <t>20250703082759</t>
  </si>
  <si>
    <t>20250703084247</t>
  </si>
  <si>
    <t>20250703085751</t>
  </si>
  <si>
    <t>20250704105444</t>
  </si>
  <si>
    <t>20250704095940</t>
  </si>
  <si>
    <t>20250704103129</t>
  </si>
  <si>
    <t>20250704115612</t>
  </si>
  <si>
    <t>20250704112504</t>
  </si>
  <si>
    <t>20250704120753</t>
  </si>
  <si>
    <t>20250704122749</t>
  </si>
  <si>
    <t>20250704125719</t>
  </si>
  <si>
    <t>24:01</t>
  </si>
  <si>
    <t>S-01</t>
  </si>
  <si>
    <t>Emissão</t>
  </si>
  <si>
    <t>L_06A</t>
  </si>
  <si>
    <t>R-CQ_20250729145225</t>
  </si>
  <si>
    <t>Andressa de Lima Neves</t>
  </si>
  <si>
    <t>C3SB63095</t>
  </si>
  <si>
    <t>0551</t>
  </si>
  <si>
    <t>Mytedom 10 mg/mL Sol. Inj.</t>
  </si>
  <si>
    <t>0611/25</t>
  </si>
  <si>
    <t>20250722085252</t>
  </si>
  <si>
    <t>20250722092741</t>
  </si>
  <si>
    <t>20250722100013</t>
  </si>
  <si>
    <t>20250723114622</t>
  </si>
  <si>
    <t>20250723120942</t>
  </si>
  <si>
    <t>20250723130900</t>
  </si>
  <si>
    <t>20250723145557</t>
  </si>
  <si>
    <t>20250723154932</t>
  </si>
  <si>
    <t>20250723160431</t>
  </si>
  <si>
    <t>20250723162640</t>
  </si>
  <si>
    <t>20250723165440</t>
  </si>
  <si>
    <t>25:15</t>
  </si>
  <si>
    <t>R-CQ_20250729150433</t>
  </si>
  <si>
    <t>Julia Rossato Ribeiro</t>
  </si>
  <si>
    <t>Cartucho Durapore  0,22 µm 10" Cod. 7 (2-226)</t>
  </si>
  <si>
    <t>CVGL71TP3</t>
  </si>
  <si>
    <t>C4EB41218</t>
  </si>
  <si>
    <t>8497</t>
  </si>
  <si>
    <t>Cod. 7 (2-226)</t>
  </si>
  <si>
    <t>10"</t>
  </si>
  <si>
    <t>Novabupi 0,5% Pesada – Solução injetável</t>
  </si>
  <si>
    <t>0928/25</t>
  </si>
  <si>
    <t>20250722090955</t>
  </si>
  <si>
    <t>20250722094259</t>
  </si>
  <si>
    <t>20250722101857</t>
  </si>
  <si>
    <t>20250724110353</t>
  </si>
  <si>
    <t>20250724112306</t>
  </si>
  <si>
    <t>20250724114533</t>
  </si>
  <si>
    <t>20250724121805</t>
  </si>
  <si>
    <t>20250724123412</t>
  </si>
  <si>
    <t>20250724124840</t>
  </si>
  <si>
    <t>20250724131511</t>
  </si>
  <si>
    <t>NA</t>
  </si>
  <si>
    <t>0,69 m²</t>
  </si>
  <si>
    <t>25:30</t>
  </si>
  <si>
    <t>R-CQ_20250806112232</t>
  </si>
  <si>
    <t>Estudo realizado na Unidade I - SP</t>
  </si>
  <si>
    <t>LES-066</t>
  </si>
  <si>
    <t>Davidson Gomes</t>
  </si>
  <si>
    <t>davidson.gomes@cristalia.com.br</t>
  </si>
  <si>
    <t xml:space="preserve">(19) 3843-9436 </t>
  </si>
  <si>
    <t xml:space="preserve">Flávio A. Sanches Politi </t>
  </si>
  <si>
    <t>Opticap® Sterile XL 3 Millipore Express® SHC 0.5/0.2 µm 1-1/2 in. TC/TC</t>
  </si>
  <si>
    <t>KHGES03TT3</t>
  </si>
  <si>
    <t>C4HB28397</t>
  </si>
  <si>
    <t>0218</t>
  </si>
  <si>
    <t>PES</t>
  </si>
  <si>
    <t>3"</t>
  </si>
  <si>
    <t>TC</t>
  </si>
  <si>
    <t>0,13 m²</t>
  </si>
  <si>
    <t>GEPP0425</t>
  </si>
  <si>
    <t>Millipore Express® SHF 0.2 µm</t>
  </si>
  <si>
    <t>0.2 µm</t>
  </si>
  <si>
    <t>R5KA40199</t>
  </si>
  <si>
    <t>Lipossomas de Resgate</t>
  </si>
  <si>
    <t>HFL_LIP_018</t>
  </si>
  <si>
    <t>20250731152203</t>
  </si>
  <si>
    <t>20250731123956</t>
  </si>
  <si>
    <t>20250731144316</t>
  </si>
  <si>
    <t>20250801173332</t>
  </si>
  <si>
    <t>20250801180942</t>
  </si>
  <si>
    <t>20250801182834</t>
  </si>
  <si>
    <t>20250801223509</t>
  </si>
  <si>
    <t>20250801230355</t>
  </si>
  <si>
    <t>20250801232842</t>
  </si>
  <si>
    <t>0.5/0.2 µm</t>
  </si>
  <si>
    <t>24:00</t>
  </si>
  <si>
    <t>R-CQ_20250806115712</t>
  </si>
  <si>
    <t>Supor Prime</t>
  </si>
  <si>
    <t>Cytiva</t>
  </si>
  <si>
    <t>MCE200ASP2AG</t>
  </si>
  <si>
    <t>UC1268</t>
  </si>
  <si>
    <t>213</t>
  </si>
  <si>
    <r>
      <rPr>
        <sz val="11"/>
        <color theme="1"/>
        <rFont val="Aptos Narrow"/>
        <family val="2"/>
      </rPr>
      <t>≈ 1</t>
    </r>
    <r>
      <rPr>
        <sz val="11"/>
        <color theme="1"/>
        <rFont val="Aptos Narrow"/>
        <family val="2"/>
        <scheme val="minor"/>
      </rPr>
      <t>"</t>
    </r>
  </si>
  <si>
    <r>
      <t>0,2</t>
    </r>
    <r>
      <rPr>
        <sz val="11"/>
        <color theme="1"/>
        <rFont val="Aptos Narrow"/>
        <family val="2"/>
      </rPr>
      <t>µm</t>
    </r>
  </si>
  <si>
    <t>HH</t>
  </si>
  <si>
    <t>NI</t>
  </si>
  <si>
    <t>FTKASF</t>
  </si>
  <si>
    <t>NX0781</t>
  </si>
  <si>
    <t>20250731160335</t>
  </si>
  <si>
    <t>20250731162552</t>
  </si>
  <si>
    <t>20250731164356</t>
  </si>
  <si>
    <t>20250801213341</t>
  </si>
  <si>
    <t>20250801215150</t>
  </si>
  <si>
    <t>20250801221324</t>
  </si>
  <si>
    <t>20250801190030</t>
  </si>
  <si>
    <t>20250801192347</t>
  </si>
  <si>
    <t>≈ 1"</t>
  </si>
  <si>
    <t>0,2µm</t>
  </si>
  <si>
    <t>26:00</t>
  </si>
  <si>
    <t>Cytiva Supor Prime Filter 0,2µm</t>
  </si>
  <si>
    <t>Ar Comprimido</t>
  </si>
  <si>
    <t>MC200ASFP2AG</t>
  </si>
  <si>
    <t>20250801194354</t>
  </si>
  <si>
    <t>R-CQ_20250902215603</t>
  </si>
  <si>
    <t>Sala para Lavagem de Frascos</t>
  </si>
  <si>
    <t>042</t>
  </si>
  <si>
    <t>LIP_HFL_021</t>
  </si>
  <si>
    <t>20250825095011</t>
  </si>
  <si>
    <t>20250825100908</t>
  </si>
  <si>
    <t>20250825103104</t>
  </si>
  <si>
    <t>20250826135014</t>
  </si>
  <si>
    <t>20250826140757</t>
  </si>
  <si>
    <t>20250826142549</t>
  </si>
  <si>
    <t>20250826165700</t>
  </si>
  <si>
    <t>20250826163934</t>
  </si>
  <si>
    <t>20250826162259</t>
  </si>
  <si>
    <t>26:25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</si>
</sst>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0.0"/>
    <numFmt numFmtId="165" formatCode="0.000"/>
    <numFmt numFmtId="166" formatCode="0.0000"/>
    <numFmt numFmtId="167" formatCode="h:mm;@"/>
    <numFmt numFmtId="168" formatCode="0.0%"/>
    <numFmt numFmtId="169" formatCode="h:mm:ss;@"/>
    <numFmt numFmtId="170" formatCode="[$-F400]h:mm:ss\ AM/PM"/>
    <numFmt numFmtId="171" formatCode="0.00000"/>
    <numFmt numFmtId="172" formatCode="[h]:mm"/>
  </numFmts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theme="1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0" xfId="1"/>
    <xf numFmtId="0" fontId="0" fillId="3" borderId="0" xfId="0" applyFill="1"/>
    <xf numFmtId="0" fontId="0" fillId="5" borderId="1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left" vertical="center"/>
    </xf>
    <xf numFmtId="49" fontId="0" fillId="5" borderId="1" xfId="0" applyNumberFormat="1" applyFill="1" applyBorder="1"/>
    <xf numFmtId="49" fontId="0" fillId="5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/>
    </xf>
    <xf numFmtId="0" fontId="0" fillId="5" borderId="6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14" fontId="0" fillId="0" borderId="0" xfId="0" applyNumberFormat="1"/>
    <xf numFmtId="165" fontId="0" fillId="5" borderId="1" xfId="0" applyNumberFormat="1" applyFill="1" applyBorder="1" applyAlignment="1">
      <alignment horizontal="center"/>
    </xf>
    <xf numFmtId="20" fontId="0" fillId="0" borderId="0" xfId="0" applyNumberFormat="1"/>
    <xf numFmtId="14" fontId="0" fillId="5" borderId="1" xfId="0" applyNumberFormat="1" applyFill="1" applyBorder="1" applyAlignment="1">
      <alignment horizontal="center" vertical="center"/>
    </xf>
    <xf numFmtId="167" fontId="0" fillId="5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center" vertical="center" textRotation="90"/>
    </xf>
    <xf numFmtId="0" fontId="0" fillId="4" borderId="2" xfId="0" applyFill="1" applyBorder="1"/>
    <xf numFmtId="0" fontId="0" fillId="0" borderId="0" xfId="0" applyAlignment="1">
      <alignment horizontal="left"/>
    </xf>
    <xf numFmtId="0" fontId="0" fillId="5" borderId="6" xfId="0" applyFill="1" applyBorder="1" applyAlignment="1">
      <alignment horizontal="left"/>
    </xf>
    <xf numFmtId="49" fontId="0" fillId="5" borderId="6" xfId="0" applyNumberFormat="1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164" fontId="0" fillId="4" borderId="1" xfId="0" applyNumberFormat="1" applyFill="1" applyBorder="1" applyAlignment="1">
      <alignment horizontal="left"/>
    </xf>
    <xf numFmtId="164" fontId="0" fillId="5" borderId="1" xfId="0" applyNumberFormat="1" applyFill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7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2" xfId="0" applyFill="1" applyBorder="1"/>
    <xf numFmtId="0" fontId="0" fillId="5" borderId="5" xfId="0" applyFill="1" applyBorder="1"/>
    <xf numFmtId="0" fontId="0" fillId="5" borderId="3" xfId="0" applyFill="1" applyBorder="1"/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49" fontId="0" fillId="0" borderId="0" xfId="0" applyNumberFormat="1"/>
    <xf numFmtId="0" fontId="0" fillId="9" borderId="0" xfId="0" applyFill="1" applyAlignment="1">
      <alignment horizontal="center" vertical="center"/>
    </xf>
    <xf numFmtId="166" fontId="0" fillId="0" borderId="0" xfId="0" applyNumberFormat="1"/>
    <xf numFmtId="2" fontId="0" fillId="0" borderId="0" xfId="0" applyNumberFormat="1"/>
    <xf numFmtId="1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10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9" fontId="0" fillId="5" borderId="1" xfId="0" applyNumberForma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4" borderId="7" xfId="0" applyFill="1" applyBorder="1"/>
    <xf numFmtId="164" fontId="2" fillId="0" borderId="1" xfId="0" applyNumberFormat="1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0" xfId="0" applyAlignment="1">
      <alignment horizontal="right" indent="1"/>
    </xf>
    <xf numFmtId="0" fontId="0" fillId="0" borderId="0" xfId="0" applyAlignment="1">
      <alignment horizontal="right"/>
    </xf>
    <xf numFmtId="0" fontId="0" fillId="0" borderId="1" xfId="0" applyBorder="1"/>
    <xf numFmtId="9" fontId="0" fillId="5" borderId="1" xfId="0" applyNumberForma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10" fontId="0" fillId="0" borderId="0" xfId="2" applyNumberFormat="1" applyFon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70" fontId="0" fillId="0" borderId="0" xfId="0" applyNumberFormat="1"/>
    <xf numFmtId="170" fontId="0" fillId="7" borderId="0" xfId="0" applyNumberFormat="1" applyFill="1" applyAlignment="1">
      <alignment horizontal="center" vertical="center"/>
    </xf>
    <xf numFmtId="168" fontId="0" fillId="0" borderId="0" xfId="2" applyNumberFormat="1" applyFont="1" applyAlignment="1">
      <alignment horizontal="center" vertical="center"/>
    </xf>
    <xf numFmtId="10" fontId="0" fillId="7" borderId="0" xfId="2" applyNumberFormat="1" applyFont="1" applyFill="1" applyBorder="1" applyAlignment="1">
      <alignment horizontal="center" vertical="center"/>
    </xf>
    <xf numFmtId="10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168" fontId="0" fillId="4" borderId="1" xfId="2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1" borderId="1" xfId="0" applyFill="1" applyBorder="1"/>
    <xf numFmtId="0" fontId="2" fillId="11" borderId="1" xfId="0" applyFont="1" applyFill="1" applyBorder="1" applyAlignment="1">
      <alignment horizontal="center" vertical="center"/>
    </xf>
    <xf numFmtId="166" fontId="2" fillId="11" borderId="1" xfId="0" applyNumberFormat="1" applyFon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166" fontId="9" fillId="12" borderId="1" xfId="0" applyNumberFormat="1" applyFont="1" applyFill="1" applyBorder="1" applyAlignment="1">
      <alignment horizontal="center" vertical="center"/>
    </xf>
    <xf numFmtId="164" fontId="9" fillId="12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0" borderId="0" xfId="0" applyAlignment="1">
      <alignment horizontal="center"/>
    </xf>
    <xf numFmtId="171" fontId="0" fillId="7" borderId="1" xfId="0" applyNumberFormat="1" applyFill="1" applyBorder="1" applyAlignment="1">
      <alignment horizontal="center" vertical="center"/>
    </xf>
    <xf numFmtId="170" fontId="0" fillId="5" borderId="1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10" fontId="2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8" fontId="0" fillId="0" borderId="1" xfId="2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164" fontId="0" fillId="4" borderId="0" xfId="0" applyNumberFormat="1" applyFill="1" applyAlignment="1">
      <alignment horizontal="center" vertical="center"/>
    </xf>
    <xf numFmtId="16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7" borderId="0" xfId="0" applyNumberFormat="1" applyFill="1" applyAlignment="1">
      <alignment horizontal="center" vertical="center"/>
    </xf>
    <xf numFmtId="45" fontId="2" fillId="5" borderId="1" xfId="0" applyNumberFormat="1" applyFon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45" fontId="0" fillId="7" borderId="0" xfId="0" applyNumberFormat="1" applyFill="1" applyAlignment="1">
      <alignment horizontal="center" vertical="center"/>
    </xf>
    <xf numFmtId="45" fontId="0" fillId="0" borderId="0" xfId="0" applyNumberFormat="1"/>
    <xf numFmtId="166" fontId="2" fillId="7" borderId="0" xfId="0" applyNumberFormat="1" applyFon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0" borderId="0" xfId="0" applyNumberFormat="1"/>
    <xf numFmtId="168" fontId="0" fillId="7" borderId="0" xfId="2" applyNumberFormat="1" applyFont="1" applyFill="1" applyBorder="1" applyAlignment="1">
      <alignment horizontal="center" vertical="center"/>
    </xf>
    <xf numFmtId="168" fontId="0" fillId="0" borderId="0" xfId="2" applyNumberFormat="1" applyFont="1"/>
    <xf numFmtId="168" fontId="0" fillId="7" borderId="0" xfId="0" applyNumberFormat="1" applyFill="1" applyAlignment="1">
      <alignment horizontal="center" vertical="center"/>
    </xf>
    <xf numFmtId="168" fontId="0" fillId="0" borderId="0" xfId="0" applyNumberFormat="1"/>
    <xf numFmtId="45" fontId="0" fillId="13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8" fontId="0" fillId="13" borderId="0" xfId="0" applyNumberFormat="1" applyFill="1" applyAlignment="1">
      <alignment horizontal="center" vertical="center"/>
    </xf>
    <xf numFmtId="170" fontId="0" fillId="13" borderId="0" xfId="0" applyNumberFormat="1" applyFill="1" applyAlignment="1">
      <alignment horizontal="center" vertical="center"/>
    </xf>
    <xf numFmtId="168" fontId="0" fillId="13" borderId="0" xfId="2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72" fontId="0" fillId="4" borderId="1" xfId="0" applyNumberFormat="1" applyFill="1" applyBorder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0" fontId="7" fillId="0" borderId="1" xfId="0" applyFon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72" fontId="0" fillId="5" borderId="4" xfId="0" applyNumberFormat="1" applyFill="1" applyBorder="1" applyAlignment="1">
      <alignment horizontal="center" vertical="center"/>
    </xf>
    <xf numFmtId="172" fontId="0" fillId="5" borderId="6" xfId="0" applyNumberForma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 textRotation="90"/>
    </xf>
    <xf numFmtId="0" fontId="3" fillId="7" borderId="2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 vertical="center" textRotation="90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10" fontId="0" fillId="5" borderId="2" xfId="0" applyNumberFormat="1" applyFill="1" applyBorder="1" applyAlignment="1">
      <alignment horizontal="left"/>
    </xf>
    <xf numFmtId="10" fontId="0" fillId="5" borderId="5" xfId="0" applyNumberFormat="1" applyFill="1" applyBorder="1" applyAlignment="1">
      <alignment horizontal="left"/>
    </xf>
    <xf numFmtId="10" fontId="0" fillId="5" borderId="3" xfId="0" applyNumberFormat="1" applyFill="1" applyBorder="1" applyAlignment="1">
      <alignment horizontal="left"/>
    </xf>
    <xf numFmtId="0" fontId="3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wrapText="1"/>
    </xf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0" fillId="4" borderId="9" xfId="0" applyNumberFormat="1" applyFill="1" applyBorder="1" applyAlignment="1">
      <alignment horizontal="center" vertical="center"/>
    </xf>
    <xf numFmtId="49" fontId="0" fillId="4" borderId="10" xfId="0" applyNumberFormat="1" applyFill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0" fontId="2" fillId="0" borderId="7" xfId="2" applyNumberFormat="1" applyFont="1" applyBorder="1" applyAlignment="1">
      <alignment horizontal="center" vertical="center"/>
    </xf>
    <xf numFmtId="10" fontId="2" fillId="0" borderId="6" xfId="2" applyNumberFormat="1" applyFont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0" fontId="2" fillId="0" borderId="1" xfId="0" applyNumberFormat="1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0"/>
  <tableStyles count="1" defaultTableStyle="TableStyleMedium2" defaultPivotStyle="PivotStyleLight16">
    <tableStyle name="Invisible" pivot="0" table="0" count="0" xr9:uid="{87952064-93BA-40CE-AFC3-801A67B52E7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1051560</xdr:colOff>
      <xdr:row>9</xdr:row>
      <xdr:rowOff>15240</xdr:rowOff>
    </xdr:from>
    <xdr:to>
      <xdr:col>11</xdr:col>
      <xdr:colOff>22860</xdr:colOff>
      <xdr:row>13</xdr:row>
      <xdr:rowOff>160020</xdr:rowOff>
    </xdr:to>
    <xdr:sp macro="[0]!Transfering" textlink="">
      <xdr:nvSpPr>
        <xdr:cNvPr id="2" name="Retângulo 1">
          <a:extLst>
            <a:ext uri="{FF2B5EF4-FFF2-40B4-BE49-F238E27FC236}">
              <a16:creationId xmlns:a16="http://schemas.microsoft.com/office/drawing/2014/main" id="{74B5E3D3-2B9F-E1C9-B0FD-4CCFB7E83ED5}"/>
            </a:ext>
          </a:extLst>
        </xdr:cNvPr>
        <xdr:cNvSpPr/>
      </xdr:nvSpPr>
      <xdr:spPr>
        <a:xfrm>
          <a:off x="8252460" y="1478280"/>
          <a:ext cx="1752600" cy="51054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REGISTRAR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Leandro Sa" id="{0778F264-7A04-4014-BCD2-316F3B7445B8}" userId="5317a4d9f2a06517" providerId="Windows Liv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1" dT="2025-03-23T19:59:04.05" personId="{0778F264-7A04-4014-BCD2-316F3B7445B8}" id="{F317FA5A-9E41-4F83-9042-328BE6BC4F70}">
    <text xml:space="preserve">Comentários sobre o local de teste
</text>
  </threadedComment>
  <threadedComment ref="B12" dT="2025-03-23T20:00:19.99" personId="{0778F264-7A04-4014-BCD2-316F3B7445B8}" id="{451D11F5-99C3-4890-814C-BBCAEFCBC444}">
    <text xml:space="preserve">Comentário 2 é sobre a estrutura e acessórios do local.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davidson.gomes@cristalia.com.br" TargetMode="External"/><Relationship Id="rId1" Type="http://schemas.openxmlformats.org/officeDocument/2006/relationships/hyperlink" Target="mailto:millena.pillon@cristalia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9ED14-C38C-4718-BE85-A316F6F8E0D8}">
  <sheetPr codeName="Planilha2"/>
  <dimension ref="A1:R128"/>
  <sheetViews>
    <sheetView tabSelected="1" topLeftCell="B1" zoomScale="130" zoomScaleNormal="130" workbookViewId="0">
      <selection activeCell="M17" sqref="M17"/>
    </sheetView>
  </sheetViews>
  <sheetFormatPr defaultRowHeight="15" x14ac:dyDescent="0.25"/>
  <cols>
    <col min="1" max="1" width="5.140625" bestFit="1" customWidth="1"/>
    <col min="2" max="2" width="19.7109375" bestFit="1" customWidth="1"/>
    <col min="3" max="3" width="6.42578125" customWidth="1"/>
    <col min="4" max="4" width="17" customWidth="1"/>
    <col min="5" max="5" width="18.5703125" bestFit="1" customWidth="1"/>
    <col min="6" max="6" width="16.5703125" customWidth="1"/>
    <col min="7" max="7" width="18.7109375" customWidth="1"/>
    <col min="8" max="8" width="20.85546875" customWidth="1"/>
    <col min="9" max="9" width="13.140625" customWidth="1"/>
    <col min="10" max="10" width="13.7109375" bestFit="1" customWidth="1"/>
    <col min="11" max="11" width="12" customWidth="1"/>
    <col min="12" max="12" width="13.140625" bestFit="1" customWidth="1"/>
    <col min="13" max="14" width="16.85546875" bestFit="1" customWidth="1"/>
    <col min="15" max="15" width="8.5703125" customWidth="1"/>
    <col min="17" max="17" width="9.5703125" bestFit="1" customWidth="1"/>
    <col min="18" max="19" width="11.85546875" bestFit="1" customWidth="1"/>
    <col min="26" max="26" width="11.85546875" bestFit="1" customWidth="1"/>
  </cols>
  <sheetData>
    <row r="1" spans="1:11" x14ac:dyDescent="0.25">
      <c r="C1" t="s">
        <v>558</v>
      </c>
    </row>
    <row r="2" spans="1:11" ht="14.45" customHeight="1" x14ac:dyDescent="0.25">
      <c r="A2" s="146" t="s">
        <v>553</v>
      </c>
      <c r="B2" s="6" t="s">
        <v>1</v>
      </c>
      <c r="C2" s="28" t="s">
        <v>559</v>
      </c>
      <c r="D2" s="41" t="s">
        <v>17</v>
      </c>
      <c r="E2" s="42"/>
      <c r="F2" s="42"/>
      <c r="G2" s="43"/>
      <c r="I2" s="132" t="s">
        <v>735</v>
      </c>
      <c r="J2" s="132"/>
      <c r="K2" s="97"/>
    </row>
    <row r="3" spans="1:11" x14ac:dyDescent="0.25">
      <c r="A3" s="146"/>
      <c r="B3" s="6" t="s">
        <v>736</v>
      </c>
      <c r="C3" s="28" t="s">
        <v>560</v>
      </c>
      <c r="D3" s="154" t="str">
        <f>IFERROR(IF(VLOOKUP(D$2,CADASTRO!A$4:L$61,2,FALSE) = "","N/I", VLOOKUP(D$2,CADASTRO!A$4:L$61,2,FALSE)), "N/I")</f>
        <v>Cristália Produtos Químicos Farmacêuticos Ltda.</v>
      </c>
      <c r="E3" s="155"/>
      <c r="F3" s="155"/>
      <c r="G3" s="156"/>
      <c r="H3" s="66" t="s">
        <v>714</v>
      </c>
      <c r="I3" s="133" t="s">
        <v>715</v>
      </c>
      <c r="J3" s="133"/>
      <c r="K3" s="94"/>
    </row>
    <row r="4" spans="1:11" x14ac:dyDescent="0.25">
      <c r="A4" s="146"/>
      <c r="B4" s="6" t="s">
        <v>737</v>
      </c>
      <c r="C4" s="28" t="s">
        <v>561</v>
      </c>
      <c r="D4" s="154" t="str">
        <f>IFERROR(IF(VLOOKUP(D$2,CADASTRO!A$4:L$61,4,FALSE) = "","N/I", VLOOKUP(D$2,CADASTRO!A$4:L$61,4,FALSE)), "N/I")</f>
        <v>Rod. Itapira Lindoia S/N, KM 14</v>
      </c>
      <c r="E4" s="155"/>
      <c r="F4" s="155"/>
      <c r="G4" s="156"/>
    </row>
    <row r="5" spans="1:11" x14ac:dyDescent="0.25">
      <c r="A5" s="146"/>
      <c r="B5" s="6" t="s">
        <v>3</v>
      </c>
      <c r="C5" s="28" t="s">
        <v>562</v>
      </c>
      <c r="D5" s="154" t="str">
        <f>IFERROR(IF(VLOOKUP(D$2,CADASTRO!A$4:L$61,6,FALSE) = "","N/I", VLOOKUP(D$2,CADASTRO!A$4:L$61,6,FALSE)), "N/I")</f>
        <v>SP</v>
      </c>
      <c r="E5" s="155"/>
      <c r="F5" s="155"/>
      <c r="G5" s="156"/>
    </row>
    <row r="6" spans="1:11" x14ac:dyDescent="0.25">
      <c r="A6" s="146"/>
      <c r="B6" s="6" t="s">
        <v>2</v>
      </c>
      <c r="C6" s="28" t="s">
        <v>563</v>
      </c>
      <c r="D6" s="154" t="str">
        <f>IFERROR(IF(VLOOKUP(D$2,CADASTRO!A$4:L$61,5,FALSE) = "","N/I", VLOOKUP(D$2,CADASTRO!A$4:L$61,5,FALSE)), "N/I")</f>
        <v>Itapira</v>
      </c>
      <c r="E6" s="155"/>
      <c r="F6" s="155"/>
      <c r="G6" s="156"/>
      <c r="I6" s="135" t="s">
        <v>557</v>
      </c>
      <c r="J6" s="135"/>
      <c r="K6" s="128" t="s">
        <v>935</v>
      </c>
    </row>
    <row r="7" spans="1:11" x14ac:dyDescent="0.25">
      <c r="A7" s="146"/>
      <c r="B7" s="6" t="s">
        <v>4</v>
      </c>
      <c r="C7" s="28" t="s">
        <v>674</v>
      </c>
      <c r="D7" s="154" t="str">
        <f>IFERROR(IF(VLOOKUP(D$2,CADASTRO!A$4:L$61,3,FALSE) = "","N/I", VLOOKUP(D$2,CADASTRO!A$4:L$61,3,FALSE)), "N/I")</f>
        <v>13974-900</v>
      </c>
      <c r="E7" s="155"/>
      <c r="F7" s="155"/>
      <c r="G7" s="156"/>
      <c r="I7" s="44"/>
      <c r="J7" s="45"/>
      <c r="K7" s="128"/>
    </row>
    <row r="8" spans="1:11" x14ac:dyDescent="0.25">
      <c r="A8" s="146"/>
      <c r="B8" s="6" t="s">
        <v>38</v>
      </c>
      <c r="C8" s="28" t="s">
        <v>564</v>
      </c>
      <c r="D8" s="166" t="s">
        <v>979</v>
      </c>
      <c r="E8" s="167"/>
      <c r="F8" s="167"/>
      <c r="G8" s="168"/>
      <c r="I8" s="176" t="s">
        <v>1037</v>
      </c>
      <c r="J8" s="177"/>
      <c r="K8" s="130">
        <v>45901</v>
      </c>
    </row>
    <row r="9" spans="1:11" x14ac:dyDescent="0.25">
      <c r="A9" s="146"/>
      <c r="B9" s="6" t="s">
        <v>39</v>
      </c>
      <c r="C9" s="28" t="s">
        <v>565</v>
      </c>
      <c r="D9" s="166" t="s">
        <v>1038</v>
      </c>
      <c r="E9" s="167"/>
      <c r="F9" s="167"/>
      <c r="G9" s="168"/>
    </row>
    <row r="10" spans="1:11" x14ac:dyDescent="0.25">
      <c r="A10" s="146"/>
      <c r="B10" s="6" t="s">
        <v>7</v>
      </c>
      <c r="C10" s="28" t="s">
        <v>566</v>
      </c>
      <c r="D10" s="166" t="s">
        <v>975</v>
      </c>
      <c r="E10" s="167"/>
      <c r="F10" s="167"/>
      <c r="G10" s="168"/>
    </row>
    <row r="11" spans="1:11" x14ac:dyDescent="0.25">
      <c r="A11" s="146"/>
      <c r="B11" s="6" t="s">
        <v>677</v>
      </c>
      <c r="C11" s="28" t="s">
        <v>678</v>
      </c>
      <c r="D11" s="38" t="s">
        <v>739</v>
      </c>
      <c r="E11" s="39"/>
      <c r="F11" s="39"/>
      <c r="G11" s="40"/>
    </row>
    <row r="12" spans="1:11" x14ac:dyDescent="0.25">
      <c r="A12" s="146"/>
      <c r="B12" s="6" t="s">
        <v>679</v>
      </c>
      <c r="C12" s="28" t="s">
        <v>680</v>
      </c>
      <c r="D12" s="38" t="s">
        <v>739</v>
      </c>
      <c r="E12" s="39"/>
      <c r="F12" s="39"/>
      <c r="G12" s="40"/>
    </row>
    <row r="13" spans="1:11" x14ac:dyDescent="0.25">
      <c r="A13" s="146"/>
      <c r="B13" s="6" t="s">
        <v>537</v>
      </c>
      <c r="C13" s="28" t="s">
        <v>567</v>
      </c>
      <c r="D13" s="34">
        <v>24.6</v>
      </c>
      <c r="E13" s="6" t="s">
        <v>538</v>
      </c>
      <c r="F13" s="169">
        <v>23.8</v>
      </c>
      <c r="G13" s="169"/>
    </row>
    <row r="14" spans="1:11" x14ac:dyDescent="0.25">
      <c r="A14" s="146"/>
      <c r="B14" s="6" t="s">
        <v>539</v>
      </c>
      <c r="C14" s="28" t="s">
        <v>568</v>
      </c>
      <c r="D14" s="34">
        <v>61.3</v>
      </c>
      <c r="E14" s="6" t="s">
        <v>540</v>
      </c>
      <c r="F14" s="170">
        <v>50.9</v>
      </c>
      <c r="G14" s="170"/>
    </row>
    <row r="15" spans="1:11" x14ac:dyDescent="0.25">
      <c r="A15" s="146"/>
      <c r="B15" s="6" t="s">
        <v>524</v>
      </c>
      <c r="C15" s="28" t="s">
        <v>569</v>
      </c>
      <c r="D15" s="157" t="s">
        <v>526</v>
      </c>
      <c r="E15" s="158"/>
      <c r="F15" s="158"/>
      <c r="G15" s="159"/>
    </row>
    <row r="16" spans="1:11" x14ac:dyDescent="0.25">
      <c r="A16" s="146"/>
      <c r="B16" s="6" t="s">
        <v>525</v>
      </c>
      <c r="C16" s="28" t="s">
        <v>570</v>
      </c>
      <c r="D16" s="157" t="s">
        <v>1034</v>
      </c>
      <c r="E16" s="158"/>
      <c r="F16" s="158"/>
      <c r="G16" s="159"/>
    </row>
    <row r="17" spans="1:13" x14ac:dyDescent="0.25">
      <c r="A17" s="146"/>
      <c r="B17" s="6" t="s">
        <v>40</v>
      </c>
      <c r="C17" s="28" t="s">
        <v>571</v>
      </c>
      <c r="D17" s="154" t="str">
        <f>IFERROR(IF(VLOOKUP(D$2,CADASTRO!A$4:L$61,7,FALSE) = "","N/I", VLOOKUP(D$2,CADASTRO!A$4:L$61,7,FALSE)), "N/I")</f>
        <v>Davidson Gomes</v>
      </c>
      <c r="E17" s="155"/>
      <c r="F17" s="155"/>
      <c r="G17" s="156"/>
      <c r="I17" s="134" t="s">
        <v>719</v>
      </c>
      <c r="J17" s="134"/>
      <c r="K17" s="98"/>
    </row>
    <row r="18" spans="1:13" x14ac:dyDescent="0.25">
      <c r="A18" s="146"/>
      <c r="B18" s="6" t="s">
        <v>8</v>
      </c>
      <c r="C18" s="28" t="s">
        <v>572</v>
      </c>
      <c r="D18" s="154" t="str">
        <f>IFERROR(IF(VLOOKUP(D$2,CADASTRO!A$4:L$61,8,FALSE) = "","N/I", VLOOKUP(D$2,CADASTRO!A$4:L$61,8,FALSE)), "N/I")</f>
        <v>Analista de Garantia da Qualidade</v>
      </c>
      <c r="E18" s="155"/>
      <c r="F18" s="155"/>
      <c r="G18" s="156"/>
      <c r="H18" s="65" t="s">
        <v>712</v>
      </c>
      <c r="I18" s="12" t="s">
        <v>720</v>
      </c>
      <c r="J18" s="13">
        <v>15</v>
      </c>
      <c r="K18" s="99"/>
    </row>
    <row r="19" spans="1:13" x14ac:dyDescent="0.25">
      <c r="A19" s="146"/>
      <c r="B19" s="6" t="s">
        <v>529</v>
      </c>
      <c r="C19" s="28" t="s">
        <v>573</v>
      </c>
      <c r="D19" s="154" t="str">
        <f>IFERROR(IF(VLOOKUP(D$2,CADASTRO!A$4:L$61,9,FALSE) = "","N/I", VLOOKUP(D$2,CADASTRO!A$4:L$61,9,FALSE)), "N/I")</f>
        <v>Garantia  Qualidade</v>
      </c>
      <c r="E19" s="155"/>
      <c r="F19" s="155"/>
      <c r="G19" s="156"/>
      <c r="H19" s="65" t="s">
        <v>713</v>
      </c>
      <c r="I19" s="12" t="s">
        <v>721</v>
      </c>
      <c r="J19" s="13">
        <v>30</v>
      </c>
      <c r="K19" s="99"/>
    </row>
    <row r="20" spans="1:13" x14ac:dyDescent="0.25">
      <c r="A20" s="146"/>
      <c r="B20" s="6" t="s">
        <v>5</v>
      </c>
      <c r="C20" s="28" t="s">
        <v>574</v>
      </c>
      <c r="D20" s="154" t="str">
        <f>IFERROR(IF(VLOOKUP(D$2,CADASTRO!A$4:L$61,10,FALSE) = "","N/I", VLOOKUP(D$2,CADASTRO!A$4:L$61,10,FALSE)), "N/I")</f>
        <v xml:space="preserve">(19) 3843-9436 </v>
      </c>
      <c r="E20" s="155"/>
      <c r="F20" s="155"/>
      <c r="G20" s="156"/>
    </row>
    <row r="21" spans="1:13" x14ac:dyDescent="0.25">
      <c r="A21" s="146"/>
      <c r="B21" s="6" t="s">
        <v>675</v>
      </c>
      <c r="C21" s="28" t="s">
        <v>676</v>
      </c>
      <c r="D21" s="154" t="str">
        <f>IFERROR(IF(VLOOKUP(D$2,CADASTRO!A$4:L$61,12,FALSE) = "","N/I", VLOOKUP(D$2,CADASTRO!A$4:L$61,12,FALSE)), "N/I")</f>
        <v>davidson.gomes@cristalia.com.br</v>
      </c>
      <c r="E21" s="155"/>
      <c r="F21" s="155"/>
      <c r="G21" s="156"/>
      <c r="I21" s="134" t="s">
        <v>711</v>
      </c>
      <c r="J21" s="134"/>
      <c r="K21" s="98"/>
    </row>
    <row r="22" spans="1:13" x14ac:dyDescent="0.25">
      <c r="A22" s="146"/>
      <c r="B22" s="6" t="s">
        <v>722</v>
      </c>
      <c r="C22" s="28" t="s">
        <v>575</v>
      </c>
      <c r="D22" s="154" t="str">
        <f>D17</f>
        <v>Davidson Gomes</v>
      </c>
      <c r="E22" s="155"/>
      <c r="F22" s="155"/>
      <c r="G22" s="156"/>
      <c r="I22" s="134">
        <f>AVERAGE(D13,F13)</f>
        <v>24.200000000000003</v>
      </c>
      <c r="J22" s="134"/>
      <c r="K22" s="98"/>
    </row>
    <row r="23" spans="1:13" ht="27" customHeight="1" x14ac:dyDescent="0.25">
      <c r="A23" s="146"/>
      <c r="B23" s="7" t="s">
        <v>723</v>
      </c>
      <c r="C23" s="28" t="s">
        <v>576</v>
      </c>
      <c r="D23" s="163" t="s">
        <v>984</v>
      </c>
      <c r="E23" s="163"/>
      <c r="F23" s="163"/>
      <c r="G23" s="163"/>
    </row>
    <row r="24" spans="1:13" ht="27" customHeight="1" x14ac:dyDescent="0.25">
      <c r="A24" s="146"/>
      <c r="B24" s="6" t="s">
        <v>724</v>
      </c>
      <c r="C24" s="28" t="s">
        <v>577</v>
      </c>
      <c r="D24" s="162" t="s">
        <v>739</v>
      </c>
      <c r="E24" s="162"/>
      <c r="F24" s="162"/>
      <c r="G24" s="162"/>
    </row>
    <row r="25" spans="1:13" ht="27" customHeight="1" x14ac:dyDescent="0.25">
      <c r="A25" s="146"/>
      <c r="B25" s="6" t="s">
        <v>725</v>
      </c>
      <c r="C25" s="28" t="s">
        <v>578</v>
      </c>
      <c r="D25" s="162" t="s">
        <v>739</v>
      </c>
      <c r="E25" s="162"/>
      <c r="F25" s="162"/>
      <c r="G25" s="162"/>
    </row>
    <row r="26" spans="1:13" x14ac:dyDescent="0.25">
      <c r="A26" s="146"/>
      <c r="B26" s="6" t="s">
        <v>41</v>
      </c>
      <c r="C26" s="28" t="s">
        <v>579</v>
      </c>
      <c r="D26" s="165" t="str">
        <f>D18</f>
        <v>Analista de Garantia da Qualidade</v>
      </c>
      <c r="E26" s="165"/>
      <c r="F26" s="165"/>
      <c r="G26" s="165"/>
    </row>
    <row r="27" spans="1:13" ht="14.45" customHeight="1" x14ac:dyDescent="0.25">
      <c r="A27" s="146"/>
      <c r="B27" s="7" t="s">
        <v>42</v>
      </c>
      <c r="C27" s="28" t="s">
        <v>580</v>
      </c>
      <c r="D27" s="164" t="s">
        <v>917</v>
      </c>
      <c r="E27" s="164"/>
      <c r="F27" s="164"/>
      <c r="G27" s="164"/>
    </row>
    <row r="28" spans="1:13" ht="14.45" customHeight="1" x14ac:dyDescent="0.25">
      <c r="A28" s="146"/>
      <c r="B28" s="6" t="s">
        <v>43</v>
      </c>
      <c r="C28" s="28" t="s">
        <v>581</v>
      </c>
      <c r="D28" s="161" t="s">
        <v>836</v>
      </c>
      <c r="E28" s="161"/>
      <c r="F28" s="161"/>
      <c r="G28" s="161"/>
    </row>
    <row r="29" spans="1:13" x14ac:dyDescent="0.25">
      <c r="A29" s="146"/>
      <c r="B29" s="6" t="s">
        <v>44</v>
      </c>
      <c r="C29" s="28" t="s">
        <v>582</v>
      </c>
      <c r="D29" s="162" t="s">
        <v>739</v>
      </c>
      <c r="E29" s="162"/>
      <c r="F29" s="162"/>
      <c r="G29" s="162"/>
    </row>
    <row r="31" spans="1:13" x14ac:dyDescent="0.25">
      <c r="I31" s="29"/>
      <c r="J31" s="29"/>
      <c r="K31" s="29"/>
      <c r="L31" s="29"/>
      <c r="M31" s="29"/>
    </row>
    <row r="33" spans="1:7" x14ac:dyDescent="0.25">
      <c r="A33" s="146" t="s">
        <v>554</v>
      </c>
      <c r="B33" s="6" t="s">
        <v>726</v>
      </c>
      <c r="C33" s="28" t="s">
        <v>583</v>
      </c>
      <c r="D33" s="166" t="s">
        <v>1011</v>
      </c>
      <c r="E33" s="167"/>
      <c r="F33" s="167"/>
      <c r="G33" s="168"/>
    </row>
    <row r="34" spans="1:7" x14ac:dyDescent="0.25">
      <c r="A34" s="146"/>
      <c r="B34" s="6" t="s">
        <v>672</v>
      </c>
      <c r="C34" s="28" t="s">
        <v>671</v>
      </c>
      <c r="D34" s="38" t="s">
        <v>1012</v>
      </c>
      <c r="E34" s="39"/>
      <c r="F34" s="39"/>
      <c r="G34" s="40"/>
    </row>
    <row r="35" spans="1:7" x14ac:dyDescent="0.25">
      <c r="A35" s="146"/>
      <c r="B35" s="6" t="s">
        <v>6</v>
      </c>
      <c r="C35" s="6" t="s">
        <v>584</v>
      </c>
      <c r="D35" s="162" t="s">
        <v>1013</v>
      </c>
      <c r="E35" s="162"/>
      <c r="F35" s="162"/>
      <c r="G35" s="162"/>
    </row>
    <row r="36" spans="1:7" x14ac:dyDescent="0.25">
      <c r="A36" s="146"/>
      <c r="B36" s="6" t="s">
        <v>503</v>
      </c>
      <c r="C36" s="28" t="s">
        <v>585</v>
      </c>
      <c r="D36" s="30" t="s">
        <v>1014</v>
      </c>
    </row>
    <row r="37" spans="1:7" x14ac:dyDescent="0.25">
      <c r="A37" s="146"/>
      <c r="B37" s="6" t="s">
        <v>517</v>
      </c>
      <c r="C37" s="6" t="s">
        <v>586</v>
      </c>
      <c r="D37" s="31" t="s">
        <v>1039</v>
      </c>
    </row>
    <row r="38" spans="1:7" x14ac:dyDescent="0.25">
      <c r="A38" s="146"/>
      <c r="B38" s="6" t="s">
        <v>11</v>
      </c>
      <c r="C38" s="28" t="s">
        <v>587</v>
      </c>
      <c r="D38" s="16" t="s">
        <v>989</v>
      </c>
    </row>
    <row r="39" spans="1:7" x14ac:dyDescent="0.25">
      <c r="A39" s="146"/>
      <c r="B39" s="6" t="s">
        <v>508</v>
      </c>
      <c r="C39" s="6" t="s">
        <v>588</v>
      </c>
      <c r="D39" s="5" t="s">
        <v>1016</v>
      </c>
    </row>
    <row r="40" spans="1:7" x14ac:dyDescent="0.25">
      <c r="A40" s="146"/>
      <c r="B40" s="6" t="s">
        <v>510</v>
      </c>
      <c r="C40" s="28" t="s">
        <v>589</v>
      </c>
      <c r="D40" s="5" t="s">
        <v>1017</v>
      </c>
    </row>
    <row r="41" spans="1:7" x14ac:dyDescent="0.25">
      <c r="A41" s="146"/>
      <c r="B41" s="6" t="s">
        <v>512</v>
      </c>
      <c r="C41" s="6" t="s">
        <v>590</v>
      </c>
      <c r="D41" s="5" t="s">
        <v>1018</v>
      </c>
    </row>
    <row r="42" spans="1:7" x14ac:dyDescent="0.25">
      <c r="A42" s="146"/>
      <c r="B42" s="6" t="s">
        <v>10</v>
      </c>
      <c r="C42" s="28" t="s">
        <v>591</v>
      </c>
      <c r="D42" s="5" t="s">
        <v>1019</v>
      </c>
    </row>
    <row r="43" spans="1:7" x14ac:dyDescent="0.25">
      <c r="A43" s="146"/>
      <c r="B43" s="6" t="s">
        <v>527</v>
      </c>
      <c r="C43" s="6" t="s">
        <v>592</v>
      </c>
      <c r="D43" s="11">
        <v>60</v>
      </c>
    </row>
    <row r="44" spans="1:7" x14ac:dyDescent="0.25">
      <c r="A44" s="146"/>
      <c r="B44" s="6" t="s">
        <v>528</v>
      </c>
      <c r="C44" s="28" t="s">
        <v>593</v>
      </c>
      <c r="D44" s="33">
        <f>D43*0.8</f>
        <v>48</v>
      </c>
    </row>
    <row r="45" spans="1:7" x14ac:dyDescent="0.25">
      <c r="A45" s="146"/>
      <c r="B45" s="6" t="s">
        <v>505</v>
      </c>
      <c r="C45" s="6" t="s">
        <v>594</v>
      </c>
      <c r="D45" s="5" t="s">
        <v>1011</v>
      </c>
      <c r="E45" s="5"/>
    </row>
    <row r="46" spans="1:7" x14ac:dyDescent="0.25">
      <c r="A46" s="146"/>
      <c r="B46" s="6" t="s">
        <v>727</v>
      </c>
      <c r="C46" s="28" t="s">
        <v>595</v>
      </c>
      <c r="D46" s="5" t="s">
        <v>1020</v>
      </c>
    </row>
    <row r="47" spans="1:7" x14ac:dyDescent="0.25">
      <c r="A47" s="146"/>
      <c r="B47" s="6" t="s">
        <v>11</v>
      </c>
      <c r="C47" s="6" t="s">
        <v>596</v>
      </c>
      <c r="D47" s="5" t="s">
        <v>989</v>
      </c>
      <c r="F47" t="s">
        <v>740</v>
      </c>
      <c r="G47" t="s">
        <v>741</v>
      </c>
    </row>
    <row r="48" spans="1:7" x14ac:dyDescent="0.25">
      <c r="A48" s="146"/>
      <c r="B48" s="6" t="s">
        <v>508</v>
      </c>
      <c r="C48" s="28" t="s">
        <v>597</v>
      </c>
      <c r="D48" s="5" t="s">
        <v>514</v>
      </c>
    </row>
    <row r="49" spans="1:7" x14ac:dyDescent="0.25">
      <c r="A49" s="146"/>
      <c r="B49" s="6" t="s">
        <v>510</v>
      </c>
      <c r="C49" s="6" t="s">
        <v>598</v>
      </c>
      <c r="D49" s="5" t="s">
        <v>995</v>
      </c>
    </row>
    <row r="50" spans="1:7" x14ac:dyDescent="0.25">
      <c r="A50" s="146"/>
      <c r="B50" s="6" t="s">
        <v>512</v>
      </c>
      <c r="C50" s="28" t="s">
        <v>599</v>
      </c>
      <c r="D50" s="5" t="s">
        <v>515</v>
      </c>
    </row>
    <row r="51" spans="1:7" x14ac:dyDescent="0.25">
      <c r="A51" s="27"/>
      <c r="B51" s="147" t="s">
        <v>503</v>
      </c>
      <c r="C51" s="6" t="s">
        <v>600</v>
      </c>
      <c r="D51" s="8" t="s">
        <v>1021</v>
      </c>
    </row>
    <row r="52" spans="1:7" x14ac:dyDescent="0.25">
      <c r="A52" s="27"/>
      <c r="B52" s="147"/>
      <c r="C52" s="28" t="s">
        <v>601</v>
      </c>
      <c r="D52" s="8" t="s">
        <v>1021</v>
      </c>
    </row>
    <row r="53" spans="1:7" x14ac:dyDescent="0.25">
      <c r="A53" s="27"/>
      <c r="B53" s="147"/>
      <c r="C53" s="6" t="s">
        <v>602</v>
      </c>
      <c r="D53" s="8" t="s">
        <v>1021</v>
      </c>
    </row>
    <row r="54" spans="1:7" x14ac:dyDescent="0.25">
      <c r="A54" s="27"/>
      <c r="B54" s="147" t="s">
        <v>517</v>
      </c>
      <c r="C54" s="28" t="s">
        <v>603</v>
      </c>
      <c r="D54" s="14" t="s">
        <v>518</v>
      </c>
    </row>
    <row r="55" spans="1:7" x14ac:dyDescent="0.25">
      <c r="A55" s="27"/>
      <c r="B55" s="147"/>
      <c r="C55" s="6" t="s">
        <v>604</v>
      </c>
      <c r="D55" s="14" t="s">
        <v>519</v>
      </c>
    </row>
    <row r="56" spans="1:7" x14ac:dyDescent="0.25">
      <c r="A56" s="27"/>
      <c r="B56" s="147"/>
      <c r="C56" s="28" t="s">
        <v>605</v>
      </c>
      <c r="D56" s="14" t="s">
        <v>520</v>
      </c>
    </row>
    <row r="58" spans="1:7" ht="30" customHeight="1" x14ac:dyDescent="0.25">
      <c r="A58" s="146" t="s">
        <v>9</v>
      </c>
      <c r="B58" s="7" t="s">
        <v>521</v>
      </c>
      <c r="C58" s="7" t="s">
        <v>606</v>
      </c>
      <c r="D58" s="14" t="s">
        <v>526</v>
      </c>
    </row>
    <row r="59" spans="1:7" x14ac:dyDescent="0.25">
      <c r="A59" s="146"/>
      <c r="B59" s="7" t="s">
        <v>503</v>
      </c>
      <c r="C59" s="7" t="s">
        <v>607</v>
      </c>
      <c r="D59" s="14" t="s">
        <v>526</v>
      </c>
    </row>
    <row r="60" spans="1:7" x14ac:dyDescent="0.25">
      <c r="A60" s="146"/>
      <c r="B60" s="7" t="s">
        <v>15</v>
      </c>
      <c r="C60" s="7" t="s">
        <v>608</v>
      </c>
      <c r="D60" s="14" t="s">
        <v>35</v>
      </c>
    </row>
    <row r="61" spans="1:7" x14ac:dyDescent="0.25">
      <c r="A61" s="146"/>
      <c r="B61" s="7" t="s">
        <v>522</v>
      </c>
      <c r="C61" s="7" t="s">
        <v>609</v>
      </c>
      <c r="D61" s="14">
        <v>19.7</v>
      </c>
    </row>
    <row r="64" spans="1:7" x14ac:dyDescent="0.25">
      <c r="A64" s="146" t="s">
        <v>0</v>
      </c>
      <c r="B64" s="6" t="s">
        <v>516</v>
      </c>
      <c r="C64" s="6" t="s">
        <v>610</v>
      </c>
      <c r="D64" s="166" t="s">
        <v>997</v>
      </c>
      <c r="E64" s="167"/>
      <c r="F64" s="167"/>
      <c r="G64" s="168"/>
    </row>
    <row r="65" spans="1:18" x14ac:dyDescent="0.25">
      <c r="A65" s="146"/>
      <c r="B65" s="6" t="s">
        <v>13</v>
      </c>
      <c r="C65" s="6" t="s">
        <v>611</v>
      </c>
      <c r="D65" s="5"/>
      <c r="E65" s="5"/>
      <c r="F65" s="6" t="s">
        <v>752</v>
      </c>
      <c r="G65" s="5" t="s">
        <v>1040</v>
      </c>
    </row>
    <row r="66" spans="1:18" x14ac:dyDescent="0.25">
      <c r="A66" s="146"/>
      <c r="B66" s="6" t="s">
        <v>14</v>
      </c>
      <c r="C66" s="6" t="s">
        <v>612</v>
      </c>
      <c r="D66" s="162"/>
      <c r="E66" s="162"/>
      <c r="F66" s="162"/>
      <c r="G66" s="162"/>
    </row>
    <row r="67" spans="1:18" x14ac:dyDescent="0.25">
      <c r="A67" s="146"/>
      <c r="B67" s="6" t="s">
        <v>728</v>
      </c>
      <c r="C67" s="6" t="s">
        <v>613</v>
      </c>
      <c r="D67" s="64">
        <v>1000</v>
      </c>
      <c r="M67" s="131" t="s">
        <v>699</v>
      </c>
      <c r="N67" s="131"/>
    </row>
    <row r="68" spans="1:18" x14ac:dyDescent="0.25">
      <c r="A68" s="146"/>
      <c r="B68" s="6" t="s">
        <v>710</v>
      </c>
      <c r="C68" s="6" t="s">
        <v>614</v>
      </c>
      <c r="D68" s="58">
        <v>24</v>
      </c>
      <c r="M68" s="2" t="s">
        <v>763</v>
      </c>
      <c r="N68" s="2" t="s">
        <v>762</v>
      </c>
    </row>
    <row r="69" spans="1:18" x14ac:dyDescent="0.25">
      <c r="M69" s="87">
        <v>1.41</v>
      </c>
      <c r="N69" s="2">
        <f>INT(M69)*60 + (M69-INT(M69))*100</f>
        <v>101</v>
      </c>
    </row>
    <row r="70" spans="1:18" x14ac:dyDescent="0.25">
      <c r="M70" s="1"/>
      <c r="N70" s="1"/>
    </row>
    <row r="71" spans="1:18" x14ac:dyDescent="0.25">
      <c r="M71" s="131" t="s">
        <v>761</v>
      </c>
      <c r="N71" s="131"/>
    </row>
    <row r="72" spans="1:18" ht="15" customHeight="1" x14ac:dyDescent="0.25">
      <c r="A72" s="143" t="s">
        <v>555</v>
      </c>
      <c r="B72" s="137" t="s">
        <v>531</v>
      </c>
      <c r="D72" s="12" t="s">
        <v>729</v>
      </c>
      <c r="E72" s="12" t="s">
        <v>532</v>
      </c>
      <c r="F72" s="12" t="s">
        <v>533</v>
      </c>
      <c r="G72" s="17" t="s">
        <v>730</v>
      </c>
      <c r="H72" s="18" t="s">
        <v>541</v>
      </c>
      <c r="M72" s="2" t="s">
        <v>762</v>
      </c>
      <c r="N72" s="2" t="s">
        <v>763</v>
      </c>
    </row>
    <row r="73" spans="1:18" x14ac:dyDescent="0.25">
      <c r="A73" s="143"/>
      <c r="B73" s="137"/>
      <c r="C73" s="1" t="s">
        <v>615</v>
      </c>
      <c r="D73" s="12" t="str">
        <f>D54</f>
        <v>#1</v>
      </c>
      <c r="E73" s="13">
        <v>8.4000000000000005E-2</v>
      </c>
      <c r="F73" s="20">
        <v>8.4000000000000005E-2</v>
      </c>
      <c r="G73" s="81">
        <f>ABS((F73-E73)/E73)</f>
        <v>0</v>
      </c>
      <c r="H73" s="178">
        <f>AVERAGE(G73:G75)</f>
        <v>1.2048192771084347E-2</v>
      </c>
      <c r="M73" s="87">
        <v>101</v>
      </c>
      <c r="N73" s="2">
        <f>INT(M73/60) + (MOD(M73,60)/100)</f>
        <v>1.41</v>
      </c>
    </row>
    <row r="74" spans="1:18" x14ac:dyDescent="0.25">
      <c r="A74" s="143"/>
      <c r="B74" s="137"/>
      <c r="C74" s="1" t="s">
        <v>616</v>
      </c>
      <c r="D74" s="12" t="str">
        <f>D55</f>
        <v>#2</v>
      </c>
      <c r="E74" s="20">
        <v>8.3000000000000004E-2</v>
      </c>
      <c r="F74" s="20">
        <v>8.5000000000000006E-2</v>
      </c>
      <c r="G74" s="81">
        <f>ABS((F74-E74)/E74)</f>
        <v>2.4096385542168693E-2</v>
      </c>
      <c r="H74" s="178"/>
      <c r="R74" s="19"/>
    </row>
    <row r="75" spans="1:18" x14ac:dyDescent="0.25">
      <c r="A75" s="143"/>
      <c r="B75" s="137"/>
      <c r="C75" s="1" t="s">
        <v>617</v>
      </c>
      <c r="D75" s="12" t="str">
        <f>D56</f>
        <v>#3</v>
      </c>
      <c r="E75" s="20">
        <v>8.3000000000000004E-2</v>
      </c>
      <c r="F75" s="20">
        <v>8.4000000000000005E-2</v>
      </c>
      <c r="G75" s="81">
        <f>ABS((F75-E75)/E75)</f>
        <v>1.2048192771084347E-2</v>
      </c>
      <c r="H75" s="178"/>
      <c r="R75" s="21"/>
    </row>
    <row r="76" spans="1:18" x14ac:dyDescent="0.25">
      <c r="A76" s="143"/>
      <c r="B76" s="137"/>
      <c r="C76" s="1"/>
      <c r="R76" s="21"/>
    </row>
    <row r="77" spans="1:18" x14ac:dyDescent="0.25">
      <c r="A77" s="143"/>
      <c r="B77" s="137"/>
      <c r="C77" s="1" t="s">
        <v>618</v>
      </c>
      <c r="D77" s="144" t="s">
        <v>542</v>
      </c>
      <c r="E77" s="145"/>
      <c r="F77" s="34">
        <v>100</v>
      </c>
    </row>
    <row r="78" spans="1:18" x14ac:dyDescent="0.25">
      <c r="A78" s="143"/>
      <c r="B78" s="137"/>
      <c r="C78" s="1"/>
      <c r="D78" s="12" t="s">
        <v>729</v>
      </c>
      <c r="E78" s="10" t="s">
        <v>777</v>
      </c>
      <c r="F78" s="10" t="s">
        <v>827</v>
      </c>
      <c r="G78" s="10" t="s">
        <v>778</v>
      </c>
      <c r="H78" s="10" t="s">
        <v>828</v>
      </c>
      <c r="I78" s="18" t="s">
        <v>731</v>
      </c>
      <c r="J78" s="18" t="s">
        <v>541</v>
      </c>
      <c r="L78" s="10" t="s">
        <v>779</v>
      </c>
      <c r="M78" s="95" t="s">
        <v>773</v>
      </c>
      <c r="N78" s="36" t="s">
        <v>774</v>
      </c>
    </row>
    <row r="79" spans="1:18" x14ac:dyDescent="0.25">
      <c r="A79" s="143"/>
      <c r="B79" s="137"/>
      <c r="C79" s="1" t="s">
        <v>619</v>
      </c>
      <c r="D79" s="12" t="str">
        <f>D54</f>
        <v>#1</v>
      </c>
      <c r="E79" s="108">
        <v>3.2407407407407406E-4</v>
      </c>
      <c r="F79" s="109">
        <f>F$77/(E79*1440)</f>
        <v>214.28571428571428</v>
      </c>
      <c r="G79" s="108">
        <v>4.861111111111111E-4</v>
      </c>
      <c r="H79" s="109">
        <f>F$77/(G79*1440)</f>
        <v>142.85714285714286</v>
      </c>
      <c r="I79" s="102">
        <f>ABS(((F79-H79)/F79))</f>
        <v>0.33333333333333331</v>
      </c>
      <c r="J79" s="173">
        <f>AVERAGE(I79:I81)</f>
        <v>0.33846153846153842</v>
      </c>
      <c r="K79" s="100"/>
      <c r="L79" s="101">
        <f>M79/60</f>
        <v>1.6833333333333333</v>
      </c>
      <c r="M79" s="2">
        <f>HOUR(N79)*3600 + MINUTE(N79)*60 + SECOND(N79)</f>
        <v>101</v>
      </c>
      <c r="N79" s="96">
        <v>1.1689814814814816E-3</v>
      </c>
    </row>
    <row r="80" spans="1:18" x14ac:dyDescent="0.25">
      <c r="A80" s="143"/>
      <c r="B80" s="137"/>
      <c r="C80" s="1" t="s">
        <v>620</v>
      </c>
      <c r="D80" s="12" t="str">
        <f>D55</f>
        <v>#2</v>
      </c>
      <c r="E80" s="108">
        <v>3.2407407407407406E-4</v>
      </c>
      <c r="F80" s="109">
        <f t="shared" ref="F80:F81" si="0">F$77/(E80*1440)</f>
        <v>214.28571428571428</v>
      </c>
      <c r="G80" s="108">
        <v>4.5138888888888887E-4</v>
      </c>
      <c r="H80" s="109">
        <f t="shared" ref="H80:H81" si="1">F$77/(G80*1440)</f>
        <v>153.84615384615384</v>
      </c>
      <c r="I80" s="102">
        <f t="shared" ref="I80:I81" si="2">ABS(((F80-H80)/F80))</f>
        <v>0.28205128205128205</v>
      </c>
      <c r="J80" s="174"/>
      <c r="K80" s="100"/>
      <c r="L80" s="101">
        <f t="shared" ref="L80:L81" si="3">M80/60</f>
        <v>1.4666666666666666</v>
      </c>
      <c r="M80" s="2">
        <f t="shared" ref="M80:M81" si="4">HOUR(N80)*3600 + MINUTE(N80)*60 + SECOND(N80)</f>
        <v>88</v>
      </c>
      <c r="N80" s="96">
        <v>1.0185185185185184E-3</v>
      </c>
    </row>
    <row r="81" spans="1:14" x14ac:dyDescent="0.25">
      <c r="A81" s="143"/>
      <c r="B81" s="137"/>
      <c r="C81" s="1" t="s">
        <v>621</v>
      </c>
      <c r="D81" s="12" t="str">
        <f>D56</f>
        <v>#3</v>
      </c>
      <c r="E81" s="108">
        <v>3.1250000000000001E-4</v>
      </c>
      <c r="F81" s="109">
        <f t="shared" si="0"/>
        <v>222.22222222222223</v>
      </c>
      <c r="G81" s="108">
        <v>5.2083333333333333E-4</v>
      </c>
      <c r="H81" s="109">
        <f t="shared" si="1"/>
        <v>133.33333333333334</v>
      </c>
      <c r="I81" s="102">
        <f t="shared" si="2"/>
        <v>0.39999999999999997</v>
      </c>
      <c r="J81" s="175"/>
      <c r="K81" s="100"/>
      <c r="L81" s="101">
        <f t="shared" si="3"/>
        <v>1.3333333333333333</v>
      </c>
      <c r="M81" s="2">
        <f t="shared" si="4"/>
        <v>80</v>
      </c>
      <c r="N81" s="96">
        <v>9.2592592592592596E-4</v>
      </c>
    </row>
    <row r="82" spans="1:14" x14ac:dyDescent="0.25">
      <c r="A82" s="143"/>
      <c r="B82" s="137"/>
      <c r="C82" s="1"/>
    </row>
    <row r="83" spans="1:14" x14ac:dyDescent="0.25">
      <c r="A83" s="143"/>
      <c r="B83" s="137"/>
      <c r="C83" s="1"/>
      <c r="D83" s="12" t="s">
        <v>729</v>
      </c>
      <c r="E83" s="142" t="s">
        <v>543</v>
      </c>
      <c r="F83" s="142"/>
      <c r="G83" s="25" t="s">
        <v>545</v>
      </c>
      <c r="L83" s="10" t="s">
        <v>779</v>
      </c>
      <c r="M83" s="95" t="s">
        <v>776</v>
      </c>
      <c r="N83" s="36" t="s">
        <v>775</v>
      </c>
    </row>
    <row r="84" spans="1:14" x14ac:dyDescent="0.25">
      <c r="A84" s="143"/>
      <c r="B84" s="137"/>
      <c r="C84" s="1" t="s">
        <v>622</v>
      </c>
      <c r="D84" s="12" t="str">
        <f>D54</f>
        <v>#1</v>
      </c>
      <c r="E84" s="138">
        <v>64.099999999999994</v>
      </c>
      <c r="F84" s="138"/>
      <c r="G84" s="9" t="s">
        <v>1041</v>
      </c>
      <c r="L84" s="101">
        <f>M84/60</f>
        <v>1.1166666666666667</v>
      </c>
      <c r="M84" s="2">
        <f>HOUR(N84)*3600 + MINUTE(N84)*60 + SECOND(N84)</f>
        <v>67</v>
      </c>
      <c r="N84" s="96">
        <v>7.7546296296296293E-4</v>
      </c>
    </row>
    <row r="85" spans="1:14" x14ac:dyDescent="0.25">
      <c r="A85" s="143"/>
      <c r="B85" s="137"/>
      <c r="C85" s="1" t="s">
        <v>623</v>
      </c>
      <c r="D85" s="12" t="str">
        <f>D55</f>
        <v>#2</v>
      </c>
      <c r="E85" s="138">
        <v>64.099999999999994</v>
      </c>
      <c r="F85" s="138"/>
      <c r="G85" s="9" t="s">
        <v>1042</v>
      </c>
      <c r="L85" s="101">
        <f t="shared" ref="L85:L86" si="5">M85/60</f>
        <v>1.0166666666666666</v>
      </c>
      <c r="M85" s="2">
        <f t="shared" ref="M85:M86" si="6">HOUR(N85)*3600 + MINUTE(N85)*60 + SECOND(N85)</f>
        <v>61</v>
      </c>
      <c r="N85" s="96">
        <v>7.0601851851851847E-4</v>
      </c>
    </row>
    <row r="86" spans="1:14" x14ac:dyDescent="0.25">
      <c r="A86" s="143"/>
      <c r="B86" s="137"/>
      <c r="C86" s="1" t="s">
        <v>624</v>
      </c>
      <c r="D86" s="12" t="str">
        <f>D56</f>
        <v>#3</v>
      </c>
      <c r="E86" s="138">
        <v>63.7</v>
      </c>
      <c r="F86" s="138"/>
      <c r="G86" s="9" t="s">
        <v>1043</v>
      </c>
      <c r="L86" s="101">
        <f t="shared" si="5"/>
        <v>1.0333333333333334</v>
      </c>
      <c r="M86" s="2">
        <f t="shared" si="6"/>
        <v>62</v>
      </c>
      <c r="N86" s="96">
        <v>7.1759259259259259E-4</v>
      </c>
    </row>
    <row r="87" spans="1:14" x14ac:dyDescent="0.25">
      <c r="A87" s="143"/>
      <c r="B87" s="137"/>
      <c r="C87" s="1"/>
    </row>
    <row r="88" spans="1:14" x14ac:dyDescent="0.25">
      <c r="A88" s="143"/>
      <c r="B88" s="137"/>
      <c r="C88" s="1"/>
      <c r="D88" s="12" t="s">
        <v>729</v>
      </c>
      <c r="E88" s="160" t="s">
        <v>544</v>
      </c>
      <c r="F88" s="160"/>
      <c r="G88" s="25" t="s">
        <v>545</v>
      </c>
    </row>
    <row r="89" spans="1:14" x14ac:dyDescent="0.25">
      <c r="A89" s="143"/>
      <c r="B89" s="137"/>
      <c r="C89" s="1" t="s">
        <v>625</v>
      </c>
      <c r="D89" s="12" t="str">
        <f>D54</f>
        <v>#1</v>
      </c>
      <c r="E89" s="138">
        <v>59.1</v>
      </c>
      <c r="F89" s="138"/>
      <c r="G89" s="9" t="s">
        <v>1044</v>
      </c>
    </row>
    <row r="90" spans="1:14" x14ac:dyDescent="0.25">
      <c r="A90" s="143"/>
      <c r="B90" s="137"/>
      <c r="C90" s="1" t="s">
        <v>626</v>
      </c>
      <c r="D90" s="12" t="str">
        <f>D55</f>
        <v>#2</v>
      </c>
      <c r="E90" s="139">
        <v>59.1</v>
      </c>
      <c r="F90" s="139"/>
      <c r="G90" s="9" t="s">
        <v>1045</v>
      </c>
      <c r="I90" t="s">
        <v>850</v>
      </c>
    </row>
    <row r="91" spans="1:14" x14ac:dyDescent="0.25">
      <c r="A91" s="143"/>
      <c r="B91" s="137"/>
      <c r="C91" s="1" t="s">
        <v>627</v>
      </c>
      <c r="D91" s="12" t="str">
        <f>D56</f>
        <v>#3</v>
      </c>
      <c r="E91" s="138">
        <v>59</v>
      </c>
      <c r="F91" s="138"/>
      <c r="G91" s="9" t="s">
        <v>1046</v>
      </c>
      <c r="I91" t="s">
        <v>851</v>
      </c>
    </row>
    <row r="92" spans="1:14" x14ac:dyDescent="0.25">
      <c r="A92" s="143"/>
      <c r="B92" s="137"/>
      <c r="I92" t="s">
        <v>852</v>
      </c>
    </row>
    <row r="93" spans="1:14" x14ac:dyDescent="0.25">
      <c r="A93" s="143"/>
      <c r="B93" s="137"/>
      <c r="C93" s="1"/>
      <c r="D93" s="12" t="s">
        <v>729</v>
      </c>
      <c r="E93" s="142" t="s">
        <v>684</v>
      </c>
      <c r="F93" s="142"/>
      <c r="G93" s="25" t="s">
        <v>545</v>
      </c>
      <c r="I93" t="s">
        <v>853</v>
      </c>
    </row>
    <row r="94" spans="1:14" x14ac:dyDescent="0.25">
      <c r="A94" s="143"/>
      <c r="B94" s="137"/>
      <c r="C94" s="1" t="s">
        <v>628</v>
      </c>
      <c r="D94" s="12" t="str">
        <f>D54</f>
        <v>#1</v>
      </c>
      <c r="E94" s="138">
        <v>60.3</v>
      </c>
      <c r="F94" s="138"/>
      <c r="G94" s="9" t="s">
        <v>1047</v>
      </c>
      <c r="I94" t="s">
        <v>854</v>
      </c>
    </row>
    <row r="95" spans="1:14" x14ac:dyDescent="0.25">
      <c r="A95" s="143"/>
      <c r="B95" s="137"/>
      <c r="C95" s="1" t="s">
        <v>629</v>
      </c>
      <c r="D95" s="12" t="str">
        <f t="shared" ref="D95:D96" si="7">D55</f>
        <v>#2</v>
      </c>
      <c r="E95" s="139">
        <v>67.7</v>
      </c>
      <c r="F95" s="139"/>
      <c r="G95" s="9" t="s">
        <v>1048</v>
      </c>
    </row>
    <row r="96" spans="1:14" x14ac:dyDescent="0.25">
      <c r="A96" s="143"/>
      <c r="B96" s="137"/>
      <c r="C96" s="1" t="s">
        <v>630</v>
      </c>
      <c r="D96" s="12" t="str">
        <f t="shared" si="7"/>
        <v>#3</v>
      </c>
      <c r="E96" s="138">
        <v>64.8</v>
      </c>
      <c r="F96" s="138"/>
      <c r="G96" s="9" t="s">
        <v>1049</v>
      </c>
    </row>
    <row r="97" spans="1:14" x14ac:dyDescent="0.25">
      <c r="A97" s="143"/>
      <c r="B97" s="137"/>
      <c r="C97" s="1"/>
      <c r="J97" s="94" t="s">
        <v>756</v>
      </c>
      <c r="K97" s="94"/>
      <c r="L97" s="94"/>
      <c r="M97" s="94"/>
      <c r="N97" s="94"/>
    </row>
    <row r="98" spans="1:14" x14ac:dyDescent="0.25">
      <c r="A98" s="143"/>
      <c r="B98" s="137"/>
      <c r="C98" s="1"/>
      <c r="D98" s="10" t="s">
        <v>534</v>
      </c>
      <c r="E98" s="10" t="s">
        <v>535</v>
      </c>
      <c r="F98" s="18" t="s">
        <v>536</v>
      </c>
      <c r="K98" s="82" t="s">
        <v>757</v>
      </c>
      <c r="L98" s="82"/>
      <c r="M98" s="82" t="s">
        <v>0</v>
      </c>
      <c r="N98" s="82" t="s">
        <v>547</v>
      </c>
    </row>
    <row r="99" spans="1:14" x14ac:dyDescent="0.25">
      <c r="A99" s="143"/>
      <c r="B99" s="137"/>
      <c r="C99" s="47" t="s">
        <v>631</v>
      </c>
      <c r="D99" s="22">
        <v>45894</v>
      </c>
      <c r="E99" s="22">
        <v>45895</v>
      </c>
      <c r="F99" s="140" t="str">
        <f>TEXT((E99+E100)-(D99+D100), "[h]:mm")</f>
        <v>26:25</v>
      </c>
      <c r="J99" s="67" t="str">
        <f>D112</f>
        <v>Membrana 1</v>
      </c>
      <c r="K99" s="82">
        <f>E84</f>
        <v>64.099999999999994</v>
      </c>
      <c r="L99" s="82"/>
      <c r="M99" s="82">
        <f>E89</f>
        <v>59.1</v>
      </c>
      <c r="N99" s="86">
        <f>ROUND(M99/K99,4)</f>
        <v>0.92200000000000004</v>
      </c>
    </row>
    <row r="100" spans="1:14" x14ac:dyDescent="0.25">
      <c r="A100" s="143"/>
      <c r="B100" s="137"/>
      <c r="C100" s="47" t="s">
        <v>632</v>
      </c>
      <c r="D100" s="23">
        <v>0.46875</v>
      </c>
      <c r="E100" s="23">
        <v>0.56944444444444442</v>
      </c>
      <c r="F100" s="141"/>
      <c r="J100" s="67" t="str">
        <f>D113</f>
        <v>Membrana 2</v>
      </c>
      <c r="K100" s="82">
        <f>E85</f>
        <v>64.099999999999994</v>
      </c>
      <c r="L100" s="82"/>
      <c r="M100" s="82">
        <f>E90</f>
        <v>59.1</v>
      </c>
      <c r="N100" s="86">
        <f t="shared" ref="N100:N101" si="8">ROUND(M100/K100,4)</f>
        <v>0.92200000000000004</v>
      </c>
    </row>
    <row r="101" spans="1:14" x14ac:dyDescent="0.25">
      <c r="A101" s="143"/>
      <c r="B101" s="137"/>
      <c r="J101" s="67" t="str">
        <f>D114</f>
        <v>Membrana 3</v>
      </c>
      <c r="K101" s="82">
        <f>E86</f>
        <v>63.7</v>
      </c>
      <c r="L101" s="82"/>
      <c r="M101" s="82">
        <f>E91</f>
        <v>59</v>
      </c>
      <c r="N101" s="86">
        <f t="shared" si="8"/>
        <v>0.92620000000000002</v>
      </c>
    </row>
    <row r="102" spans="1:14" x14ac:dyDescent="0.25">
      <c r="A102" s="143"/>
      <c r="B102" s="137"/>
      <c r="C102" s="1"/>
      <c r="D102" s="148" t="s">
        <v>732</v>
      </c>
      <c r="E102" s="149"/>
      <c r="F102" s="150"/>
      <c r="M102" s="83" t="s">
        <v>758</v>
      </c>
      <c r="N102" s="85">
        <f>ROUND(AVERAGE(N99:N101),4)</f>
        <v>0.9234</v>
      </c>
    </row>
    <row r="103" spans="1:14" x14ac:dyDescent="0.25">
      <c r="A103" s="143"/>
      <c r="B103" s="137"/>
      <c r="C103" s="47" t="s">
        <v>633</v>
      </c>
      <c r="D103" s="151">
        <v>60</v>
      </c>
      <c r="E103" s="152"/>
      <c r="F103" s="153"/>
      <c r="M103" s="83" t="s">
        <v>759</v>
      </c>
      <c r="N103" s="84">
        <f>ROUND(STDEV(N99:N101),4)</f>
        <v>2.3999999999999998E-3</v>
      </c>
    </row>
    <row r="104" spans="1:14" x14ac:dyDescent="0.25">
      <c r="A104" s="143"/>
      <c r="B104" s="1"/>
      <c r="C104" s="1"/>
      <c r="M104" s="83" t="s">
        <v>760</v>
      </c>
      <c r="N104" s="85">
        <f>ROUND((N103/N102),4)*100</f>
        <v>0.26</v>
      </c>
    </row>
    <row r="105" spans="1:14" x14ac:dyDescent="0.25">
      <c r="A105" s="143"/>
      <c r="B105" s="136" t="s">
        <v>556</v>
      </c>
      <c r="D105" s="26" t="s">
        <v>812</v>
      </c>
      <c r="E105" s="25" t="s">
        <v>813</v>
      </c>
      <c r="F105" s="25" t="s">
        <v>35</v>
      </c>
      <c r="M105" s="83" t="s">
        <v>768</v>
      </c>
      <c r="N105" s="2">
        <f>D43*N102</f>
        <v>55.403999999999996</v>
      </c>
    </row>
    <row r="106" spans="1:14" x14ac:dyDescent="0.25">
      <c r="A106" s="143"/>
      <c r="B106" s="136"/>
      <c r="C106" s="1" t="s">
        <v>634</v>
      </c>
      <c r="D106" s="6" t="s">
        <v>546</v>
      </c>
      <c r="E106" s="88">
        <f>E116</f>
        <v>55.403999999999996</v>
      </c>
      <c r="F106" s="104">
        <f>D43</f>
        <v>60</v>
      </c>
    </row>
    <row r="107" spans="1:14" x14ac:dyDescent="0.25">
      <c r="A107" s="143"/>
      <c r="B107" s="136"/>
      <c r="C107" s="1" t="s">
        <v>635</v>
      </c>
      <c r="D107" s="6" t="s">
        <v>552</v>
      </c>
      <c r="E107" s="89">
        <v>55.6</v>
      </c>
      <c r="F107" s="89" t="s">
        <v>975</v>
      </c>
    </row>
    <row r="108" spans="1:14" x14ac:dyDescent="0.25">
      <c r="A108" s="143"/>
      <c r="B108" s="136"/>
      <c r="C108" s="1" t="s">
        <v>636</v>
      </c>
      <c r="D108" s="6" t="s">
        <v>517</v>
      </c>
      <c r="E108" s="171" t="str">
        <f>D37</f>
        <v>042</v>
      </c>
      <c r="F108" s="172"/>
    </row>
    <row r="109" spans="1:14" x14ac:dyDescent="0.25">
      <c r="A109" s="143"/>
      <c r="B109" s="136"/>
      <c r="C109" s="1" t="s">
        <v>637</v>
      </c>
      <c r="D109" s="6" t="s">
        <v>545</v>
      </c>
      <c r="E109" s="9" t="s">
        <v>975</v>
      </c>
      <c r="F109" s="9" t="s">
        <v>975</v>
      </c>
    </row>
    <row r="110" spans="1:14" x14ac:dyDescent="0.25">
      <c r="A110" s="143"/>
      <c r="B110" s="103"/>
    </row>
    <row r="111" spans="1:14" x14ac:dyDescent="0.25">
      <c r="A111" s="143"/>
    </row>
    <row r="112" spans="1:14" x14ac:dyDescent="0.25">
      <c r="A112" s="143"/>
      <c r="B112" s="136" t="s">
        <v>547</v>
      </c>
      <c r="C112" s="1" t="s">
        <v>638</v>
      </c>
      <c r="D112" s="32" t="s">
        <v>548</v>
      </c>
      <c r="E112" s="90">
        <f>ROUND((E89/E84),4)</f>
        <v>0.92200000000000004</v>
      </c>
    </row>
    <row r="113" spans="1:8" x14ac:dyDescent="0.25">
      <c r="A113" s="143"/>
      <c r="B113" s="136"/>
      <c r="C113" s="1" t="s">
        <v>639</v>
      </c>
      <c r="D113" s="32" t="s">
        <v>549</v>
      </c>
      <c r="E113" s="90">
        <f>ROUND((E90/E85),4)</f>
        <v>0.92200000000000004</v>
      </c>
    </row>
    <row r="114" spans="1:8" x14ac:dyDescent="0.25">
      <c r="A114" s="143"/>
      <c r="B114" s="136"/>
      <c r="C114" s="1" t="s">
        <v>681</v>
      </c>
      <c r="D114" s="32" t="s">
        <v>550</v>
      </c>
      <c r="E114" s="90">
        <f>ROUND((E91/E86),4)</f>
        <v>0.92620000000000002</v>
      </c>
    </row>
    <row r="115" spans="1:8" x14ac:dyDescent="0.25">
      <c r="A115" s="143"/>
      <c r="B115" s="136"/>
      <c r="C115" s="1" t="s">
        <v>682</v>
      </c>
      <c r="D115" s="15" t="s">
        <v>769</v>
      </c>
      <c r="E115" s="91">
        <f>AVERAGE(E112:E114)</f>
        <v>0.9234</v>
      </c>
    </row>
    <row r="116" spans="1:8" x14ac:dyDescent="0.25">
      <c r="A116" s="143"/>
      <c r="B116" s="136"/>
      <c r="C116" s="1" t="s">
        <v>683</v>
      </c>
      <c r="D116" s="15" t="s">
        <v>551</v>
      </c>
      <c r="E116" s="92">
        <f>D43*E115</f>
        <v>55.403999999999996</v>
      </c>
    </row>
    <row r="118" spans="1:8" x14ac:dyDescent="0.25">
      <c r="D118" s="60" t="s">
        <v>691</v>
      </c>
      <c r="E118" s="60" t="s">
        <v>733</v>
      </c>
      <c r="F118" s="60" t="s">
        <v>693</v>
      </c>
      <c r="H118" s="2" t="s">
        <v>700</v>
      </c>
    </row>
    <row r="119" spans="1:8" x14ac:dyDescent="0.25">
      <c r="C119" s="1" t="s">
        <v>690</v>
      </c>
      <c r="D119" s="6" t="s">
        <v>692</v>
      </c>
      <c r="E119" s="68">
        <v>0.1</v>
      </c>
      <c r="F119" s="61" t="str">
        <f>IF(H73&lt;=E119,"Aprovado","Reprovado")</f>
        <v>Aprovado</v>
      </c>
      <c r="H119" s="63">
        <f>AVERAGE(E84:F86,E94:F96)</f>
        <v>64.11666666666666</v>
      </c>
    </row>
    <row r="120" spans="1:8" x14ac:dyDescent="0.25">
      <c r="C120" s="1" t="s">
        <v>696</v>
      </c>
      <c r="D120" s="6" t="s">
        <v>734</v>
      </c>
      <c r="E120" s="68">
        <v>0.1</v>
      </c>
      <c r="F120" s="61" t="str">
        <f>IF(J79&lt;=E120,"Aprovado","Reprovado")</f>
        <v>Reprovado</v>
      </c>
      <c r="H120" s="2" t="s">
        <v>709</v>
      </c>
    </row>
    <row r="121" spans="1:8" x14ac:dyDescent="0.25">
      <c r="A121" t="s">
        <v>689</v>
      </c>
      <c r="C121" s="1" t="s">
        <v>697</v>
      </c>
      <c r="D121" s="6" t="s">
        <v>694</v>
      </c>
      <c r="E121" s="24">
        <f>D43</f>
        <v>60</v>
      </c>
      <c r="F121" s="61" t="str">
        <f>IF(H119&gt;=E121,"Aprovado","Reprovado")</f>
        <v>Aprovado</v>
      </c>
      <c r="H121" s="63">
        <f>AVERAGE(E89:F91)</f>
        <v>59.066666666666663</v>
      </c>
    </row>
    <row r="122" spans="1:8" x14ac:dyDescent="0.25">
      <c r="C122" s="1" t="s">
        <v>698</v>
      </c>
      <c r="D122" s="6" t="s">
        <v>695</v>
      </c>
      <c r="E122" s="24">
        <f>H121</f>
        <v>59.066666666666663</v>
      </c>
      <c r="F122" s="61" t="str">
        <f>IF(H121&gt;=E106,"Aprovado","Reprovado")</f>
        <v>Aprovado</v>
      </c>
    </row>
    <row r="123" spans="1:8" x14ac:dyDescent="0.25">
      <c r="C123" s="1" t="s">
        <v>705</v>
      </c>
      <c r="D123" s="62" t="s">
        <v>701</v>
      </c>
      <c r="E123" s="105">
        <f>E107</f>
        <v>55.6</v>
      </c>
      <c r="F123" s="69" t="str">
        <f>IF(E123&gt;=E106,"Aprovado","Reprovado")</f>
        <v>Aprovado</v>
      </c>
    </row>
    <row r="124" spans="1:8" x14ac:dyDescent="0.25">
      <c r="C124" s="1" t="s">
        <v>706</v>
      </c>
      <c r="D124" s="62" t="s">
        <v>702</v>
      </c>
      <c r="E124" s="126" t="str">
        <f>F99</f>
        <v>26:25</v>
      </c>
      <c r="F124" s="61" t="str">
        <f>IF(G124&gt;=D68,"Aprovado","Reprovado")</f>
        <v>Aprovado</v>
      </c>
      <c r="G124" s="71">
        <f>((E99+E100)-(D99+D100))*24</f>
        <v>26.416666666686069</v>
      </c>
    </row>
    <row r="125" spans="1:8" x14ac:dyDescent="0.25">
      <c r="C125" s="1" t="s">
        <v>707</v>
      </c>
      <c r="D125" s="62" t="s">
        <v>703</v>
      </c>
      <c r="E125" s="106">
        <f>I22</f>
        <v>24.200000000000003</v>
      </c>
      <c r="F125" s="70" t="str">
        <f>IF(AND(E125&gt;=J18,E125&lt;=J19),"Aprovado","Reprovado")</f>
        <v>Aprovado</v>
      </c>
    </row>
    <row r="126" spans="1:8" x14ac:dyDescent="0.25">
      <c r="C126" s="1" t="s">
        <v>708</v>
      </c>
      <c r="D126" s="62" t="s">
        <v>704</v>
      </c>
      <c r="E126" s="5"/>
      <c r="F126" s="61" t="str">
        <f t="shared" ref="F126" si="9">IF(E112&gt;=E126,"Aprovado","Reprovado")</f>
        <v>Aprovado</v>
      </c>
    </row>
    <row r="128" spans="1:8" x14ac:dyDescent="0.25">
      <c r="C128" s="1"/>
    </row>
  </sheetData>
  <mergeCells count="67">
    <mergeCell ref="D64:G64"/>
    <mergeCell ref="E108:F108"/>
    <mergeCell ref="D15:G15"/>
    <mergeCell ref="D7:G7"/>
    <mergeCell ref="J79:J81"/>
    <mergeCell ref="I8:J8"/>
    <mergeCell ref="E84:F84"/>
    <mergeCell ref="D21:G21"/>
    <mergeCell ref="H73:H75"/>
    <mergeCell ref="D18:G18"/>
    <mergeCell ref="D19:G19"/>
    <mergeCell ref="D20:G20"/>
    <mergeCell ref="D22:G22"/>
    <mergeCell ref="D33:G33"/>
    <mergeCell ref="D35:G35"/>
    <mergeCell ref="D66:G66"/>
    <mergeCell ref="D6:G6"/>
    <mergeCell ref="D8:G8"/>
    <mergeCell ref="D9:G9"/>
    <mergeCell ref="F13:G13"/>
    <mergeCell ref="F14:G14"/>
    <mergeCell ref="D10:G10"/>
    <mergeCell ref="D28:G28"/>
    <mergeCell ref="D29:G29"/>
    <mergeCell ref="D17:G17"/>
    <mergeCell ref="D23:G23"/>
    <mergeCell ref="D24:G24"/>
    <mergeCell ref="D25:G25"/>
    <mergeCell ref="D27:G27"/>
    <mergeCell ref="D26:G26"/>
    <mergeCell ref="A72:A116"/>
    <mergeCell ref="D77:E77"/>
    <mergeCell ref="A2:A29"/>
    <mergeCell ref="B51:B53"/>
    <mergeCell ref="B54:B56"/>
    <mergeCell ref="D102:F102"/>
    <mergeCell ref="D103:F103"/>
    <mergeCell ref="D3:G3"/>
    <mergeCell ref="D4:G4"/>
    <mergeCell ref="D5:G5"/>
    <mergeCell ref="D16:G16"/>
    <mergeCell ref="E83:F83"/>
    <mergeCell ref="E88:F88"/>
    <mergeCell ref="A33:A50"/>
    <mergeCell ref="A58:A61"/>
    <mergeCell ref="A64:A68"/>
    <mergeCell ref="B105:B109"/>
    <mergeCell ref="B112:B116"/>
    <mergeCell ref="B72:B103"/>
    <mergeCell ref="E89:F89"/>
    <mergeCell ref="E90:F90"/>
    <mergeCell ref="E91:F91"/>
    <mergeCell ref="F99:F100"/>
    <mergeCell ref="E86:F86"/>
    <mergeCell ref="E93:F93"/>
    <mergeCell ref="E94:F94"/>
    <mergeCell ref="E95:F95"/>
    <mergeCell ref="E96:F96"/>
    <mergeCell ref="E85:F85"/>
    <mergeCell ref="M67:N67"/>
    <mergeCell ref="M71:N71"/>
    <mergeCell ref="I2:J2"/>
    <mergeCell ref="I3:J3"/>
    <mergeCell ref="I17:J17"/>
    <mergeCell ref="I21:J21"/>
    <mergeCell ref="I22:J22"/>
    <mergeCell ref="I6:J6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BB07A-8956-4432-80BD-B1BA78C77BB5}">
  <sheetPr codeName="Planilha4"/>
  <dimension ref="A1:EJ3"/>
  <sheetViews>
    <sheetView topLeftCell="CF1" workbookViewId="0">
      <selection activeCell="CW2" sqref="A2:XFD2"/>
    </sheetView>
  </sheetViews>
  <sheetFormatPr defaultRowHeight="15" x14ac:dyDescent="0.25"/>
  <cols>
    <col min="2" max="2" width="17.7109375" bestFit="1" customWidth="1"/>
    <col min="9" max="9" width="10.42578125" bestFit="1" customWidth="1"/>
    <col min="34" max="34" width="13.140625" customWidth="1"/>
    <col min="81" max="81" width="12" bestFit="1" customWidth="1"/>
    <col min="82" max="82" width="7.140625" bestFit="1" customWidth="1"/>
    <col min="84" max="84" width="6.5703125" bestFit="1" customWidth="1"/>
    <col min="85" max="85" width="7.140625" bestFit="1" customWidth="1"/>
    <col min="86" max="86" width="6.5703125" bestFit="1" customWidth="1"/>
    <col min="87" max="88" width="7.140625" bestFit="1" customWidth="1"/>
    <col min="89" max="89" width="6.5703125" bestFit="1" customWidth="1"/>
    <col min="90" max="90" width="7.140625" bestFit="1" customWidth="1"/>
    <col min="91" max="91" width="8.5703125" bestFit="1" customWidth="1"/>
    <col min="92" max="93" width="7.140625" bestFit="1" customWidth="1"/>
    <col min="94" max="94" width="5" bestFit="1" customWidth="1"/>
    <col min="95" max="95" width="14.140625" bestFit="1" customWidth="1"/>
    <col min="96" max="96" width="5" bestFit="1" customWidth="1"/>
    <col min="97" max="97" width="14.140625" bestFit="1" customWidth="1"/>
    <col min="98" max="98" width="5" bestFit="1" customWidth="1"/>
    <col min="99" max="99" width="14.140625" bestFit="1" customWidth="1"/>
    <col min="100" max="100" width="5" bestFit="1" customWidth="1"/>
    <col min="101" max="101" width="14.140625" bestFit="1" customWidth="1"/>
    <col min="102" max="102" width="5" bestFit="1" customWidth="1"/>
    <col min="103" max="103" width="14.140625" bestFit="1" customWidth="1"/>
    <col min="104" max="104" width="5" bestFit="1" customWidth="1"/>
    <col min="105" max="105" width="14.140625" bestFit="1" customWidth="1"/>
    <col min="106" max="106" width="5" bestFit="1" customWidth="1"/>
    <col min="107" max="107" width="14.140625" bestFit="1" customWidth="1"/>
    <col min="108" max="108" width="5" bestFit="1" customWidth="1"/>
    <col min="109" max="109" width="14.140625" bestFit="1" customWidth="1"/>
    <col min="110" max="110" width="5.5703125" bestFit="1" customWidth="1"/>
    <col min="111" max="111" width="14.140625" bestFit="1" customWidth="1"/>
    <col min="112" max="113" width="10.28515625" bestFit="1" customWidth="1"/>
    <col min="114" max="114" width="5.5703125" bestFit="1" customWidth="1"/>
    <col min="115" max="116" width="5.85546875" bestFit="1" customWidth="1"/>
    <col min="117" max="117" width="4.7109375" bestFit="1" customWidth="1"/>
    <col min="118" max="119" width="5.5703125" bestFit="1" customWidth="1"/>
    <col min="120" max="120" width="5" bestFit="1" customWidth="1"/>
    <col min="121" max="121" width="14.140625" bestFit="1" customWidth="1"/>
    <col min="122" max="122" width="5.85546875" style="125" bestFit="1" customWidth="1"/>
    <col min="123" max="123" width="5.85546875" style="125" customWidth="1"/>
    <col min="124" max="124" width="9.5703125" bestFit="1" customWidth="1"/>
  </cols>
  <sheetData>
    <row r="1" spans="1:140" s="67" customFormat="1" x14ac:dyDescent="0.25">
      <c r="A1" s="36" t="s">
        <v>640</v>
      </c>
      <c r="B1" s="36" t="s">
        <v>559</v>
      </c>
      <c r="C1" s="36" t="s">
        <v>560</v>
      </c>
      <c r="D1" s="36" t="s">
        <v>561</v>
      </c>
      <c r="E1" s="36" t="s">
        <v>562</v>
      </c>
      <c r="F1" s="36" t="s">
        <v>563</v>
      </c>
      <c r="G1" s="36" t="s">
        <v>674</v>
      </c>
      <c r="H1" s="36" t="s">
        <v>564</v>
      </c>
      <c r="I1" s="36" t="s">
        <v>936</v>
      </c>
      <c r="J1" s="36" t="s">
        <v>565</v>
      </c>
      <c r="K1" s="36" t="s">
        <v>566</v>
      </c>
      <c r="L1" s="36" t="s">
        <v>678</v>
      </c>
      <c r="M1" s="36" t="s">
        <v>680</v>
      </c>
      <c r="N1" s="36" t="s">
        <v>567</v>
      </c>
      <c r="O1" s="36" t="s">
        <v>641</v>
      </c>
      <c r="P1" s="36" t="s">
        <v>568</v>
      </c>
      <c r="Q1" s="36" t="s">
        <v>642</v>
      </c>
      <c r="R1" s="36" t="s">
        <v>569</v>
      </c>
      <c r="S1" s="36" t="s">
        <v>570</v>
      </c>
      <c r="T1" s="36" t="s">
        <v>571</v>
      </c>
      <c r="U1" s="36" t="s">
        <v>572</v>
      </c>
      <c r="V1" s="36" t="s">
        <v>573</v>
      </c>
      <c r="W1" s="36" t="s">
        <v>574</v>
      </c>
      <c r="X1" s="36" t="s">
        <v>676</v>
      </c>
      <c r="Y1" s="36" t="s">
        <v>575</v>
      </c>
      <c r="Z1" s="36" t="s">
        <v>576</v>
      </c>
      <c r="AA1" s="36" t="s">
        <v>577</v>
      </c>
      <c r="AB1" s="36" t="s">
        <v>578</v>
      </c>
      <c r="AC1" s="36" t="s">
        <v>579</v>
      </c>
      <c r="AD1" s="36" t="s">
        <v>580</v>
      </c>
      <c r="AE1" s="36" t="s">
        <v>581</v>
      </c>
      <c r="AF1" s="36" t="s">
        <v>582</v>
      </c>
      <c r="AG1" s="36" t="s">
        <v>583</v>
      </c>
      <c r="AH1" s="36" t="s">
        <v>671</v>
      </c>
      <c r="AI1" s="36" t="s">
        <v>584</v>
      </c>
      <c r="AJ1" s="36" t="s">
        <v>585</v>
      </c>
      <c r="AK1" s="36" t="s">
        <v>586</v>
      </c>
      <c r="AL1" s="36" t="s">
        <v>587</v>
      </c>
      <c r="AM1" s="36" t="s">
        <v>588</v>
      </c>
      <c r="AN1" s="36" t="s">
        <v>589</v>
      </c>
      <c r="AO1" s="36" t="s">
        <v>590</v>
      </c>
      <c r="AP1" s="36" t="s">
        <v>591</v>
      </c>
      <c r="AQ1" s="36" t="s">
        <v>592</v>
      </c>
      <c r="AR1" s="36" t="s">
        <v>593</v>
      </c>
      <c r="AS1" s="36" t="s">
        <v>594</v>
      </c>
      <c r="AT1" s="36" t="s">
        <v>595</v>
      </c>
      <c r="AU1" s="36" t="s">
        <v>596</v>
      </c>
      <c r="AV1" s="36" t="s">
        <v>597</v>
      </c>
      <c r="AW1" s="36" t="s">
        <v>598</v>
      </c>
      <c r="AX1" s="36" t="s">
        <v>599</v>
      </c>
      <c r="AY1" s="36" t="s">
        <v>600</v>
      </c>
      <c r="AZ1" s="36" t="s">
        <v>601</v>
      </c>
      <c r="BA1" s="36" t="s">
        <v>602</v>
      </c>
      <c r="BB1" s="36" t="s">
        <v>603</v>
      </c>
      <c r="BC1" s="36" t="s">
        <v>604</v>
      </c>
      <c r="BD1" s="36" t="s">
        <v>605</v>
      </c>
      <c r="BE1" s="36" t="s">
        <v>606</v>
      </c>
      <c r="BF1" s="36" t="s">
        <v>607</v>
      </c>
      <c r="BG1" s="36" t="s">
        <v>608</v>
      </c>
      <c r="BH1" s="36" t="s">
        <v>609</v>
      </c>
      <c r="BI1" s="36" t="s">
        <v>610</v>
      </c>
      <c r="BJ1" s="36" t="s">
        <v>611</v>
      </c>
      <c r="BK1" s="36" t="s">
        <v>753</v>
      </c>
      <c r="BL1" s="36" t="s">
        <v>612</v>
      </c>
      <c r="BM1" s="36" t="s">
        <v>613</v>
      </c>
      <c r="BN1" s="36" t="s">
        <v>614</v>
      </c>
      <c r="BO1" s="36" t="s">
        <v>615</v>
      </c>
      <c r="BP1" s="36" t="s">
        <v>643</v>
      </c>
      <c r="BQ1" s="36" t="s">
        <v>644</v>
      </c>
      <c r="BR1" s="36" t="s">
        <v>616</v>
      </c>
      <c r="BS1" s="36" t="s">
        <v>645</v>
      </c>
      <c r="BT1" s="36" t="s">
        <v>646</v>
      </c>
      <c r="BU1" s="36" t="s">
        <v>617</v>
      </c>
      <c r="BV1" s="36" t="s">
        <v>647</v>
      </c>
      <c r="BW1" s="36" t="s">
        <v>648</v>
      </c>
      <c r="BX1" s="37" t="s">
        <v>649</v>
      </c>
      <c r="BY1" s="36" t="s">
        <v>618</v>
      </c>
      <c r="BZ1" s="36" t="s">
        <v>619</v>
      </c>
      <c r="CA1" s="36" t="s">
        <v>652</v>
      </c>
      <c r="CB1" s="36" t="s">
        <v>651</v>
      </c>
      <c r="CC1" s="36" t="s">
        <v>653</v>
      </c>
      <c r="CD1" s="36" t="s">
        <v>654</v>
      </c>
      <c r="CE1" s="36" t="s">
        <v>620</v>
      </c>
      <c r="CF1" s="36" t="s">
        <v>650</v>
      </c>
      <c r="CG1" s="36" t="s">
        <v>655</v>
      </c>
      <c r="CH1" s="36" t="s">
        <v>656</v>
      </c>
      <c r="CI1" s="36" t="s">
        <v>657</v>
      </c>
      <c r="CJ1" s="36" t="s">
        <v>621</v>
      </c>
      <c r="CK1" s="36" t="s">
        <v>658</v>
      </c>
      <c r="CL1" s="36" t="s">
        <v>659</v>
      </c>
      <c r="CM1" s="36" t="s">
        <v>660</v>
      </c>
      <c r="CN1" s="36" t="s">
        <v>661</v>
      </c>
      <c r="CO1" s="36" t="s">
        <v>662</v>
      </c>
      <c r="CP1" s="36" t="s">
        <v>622</v>
      </c>
      <c r="CQ1" s="36" t="s">
        <v>663</v>
      </c>
      <c r="CR1" s="36" t="s">
        <v>623</v>
      </c>
      <c r="CS1" s="36" t="s">
        <v>664</v>
      </c>
      <c r="CT1" s="36" t="s">
        <v>624</v>
      </c>
      <c r="CU1" s="36" t="s">
        <v>665</v>
      </c>
      <c r="CV1" s="36" t="s">
        <v>625</v>
      </c>
      <c r="CW1" s="36" t="s">
        <v>666</v>
      </c>
      <c r="CX1" s="36" t="s">
        <v>626</v>
      </c>
      <c r="CY1" s="36" t="s">
        <v>667</v>
      </c>
      <c r="CZ1" s="36" t="s">
        <v>627</v>
      </c>
      <c r="DA1" s="36" t="s">
        <v>668</v>
      </c>
      <c r="DB1" s="36" t="s">
        <v>628</v>
      </c>
      <c r="DC1" s="36" t="s">
        <v>669</v>
      </c>
      <c r="DD1" s="36" t="s">
        <v>629</v>
      </c>
      <c r="DE1" s="36" t="s">
        <v>670</v>
      </c>
      <c r="DF1" s="36" t="s">
        <v>630</v>
      </c>
      <c r="DG1" s="36" t="s">
        <v>688</v>
      </c>
      <c r="DH1" s="36" t="s">
        <v>631</v>
      </c>
      <c r="DI1" s="36" t="s">
        <v>685</v>
      </c>
      <c r="DJ1" s="36" t="s">
        <v>632</v>
      </c>
      <c r="DK1" s="36" t="s">
        <v>686</v>
      </c>
      <c r="DL1" s="36" t="s">
        <v>687</v>
      </c>
      <c r="DM1" s="36" t="s">
        <v>633</v>
      </c>
      <c r="DN1" s="36" t="s">
        <v>634</v>
      </c>
      <c r="DO1" s="36" t="s">
        <v>635</v>
      </c>
      <c r="DP1" s="36" t="s">
        <v>636</v>
      </c>
      <c r="DQ1" s="36" t="s">
        <v>637</v>
      </c>
      <c r="DR1" s="36" t="s">
        <v>830</v>
      </c>
      <c r="DS1" s="36" t="s">
        <v>829</v>
      </c>
      <c r="DT1" s="36" t="s">
        <v>638</v>
      </c>
      <c r="DU1" s="36" t="s">
        <v>639</v>
      </c>
      <c r="DV1" s="36" t="s">
        <v>681</v>
      </c>
      <c r="DW1" s="36" t="s">
        <v>682</v>
      </c>
      <c r="DX1" s="36" t="s">
        <v>683</v>
      </c>
      <c r="DY1" s="36" t="s">
        <v>690</v>
      </c>
      <c r="DZ1" s="36" t="s">
        <v>696</v>
      </c>
      <c r="EA1" s="36" t="s">
        <v>697</v>
      </c>
      <c r="EB1" s="36" t="s">
        <v>698</v>
      </c>
      <c r="EC1" s="36" t="s">
        <v>705</v>
      </c>
      <c r="ED1" s="36" t="s">
        <v>706</v>
      </c>
      <c r="EE1" s="36" t="s">
        <v>707</v>
      </c>
      <c r="EF1" s="36" t="s">
        <v>708</v>
      </c>
      <c r="EG1" s="36" t="s">
        <v>712</v>
      </c>
      <c r="EH1" s="36" t="s">
        <v>713</v>
      </c>
      <c r="EI1" s="36" t="s">
        <v>714</v>
      </c>
      <c r="EJ1" s="67" t="s">
        <v>754</v>
      </c>
    </row>
    <row r="2" spans="1:140" x14ac:dyDescent="0.25">
      <c r="A2" s="1" t="str">
        <f>ENTRADAS!I8</f>
        <v>R-CQ_20250902215603</v>
      </c>
      <c r="B2" s="1" t="str">
        <f>ENTRADAS!D2</f>
        <v>44.734.671/0001-51</v>
      </c>
      <c r="C2" s="1" t="str">
        <f>ENTRADAS!D3</f>
        <v>Cristália Produtos Químicos Farmacêuticos Ltda.</v>
      </c>
      <c r="D2" s="1" t="str">
        <f>ENTRADAS!D4</f>
        <v>Rod. Itapira Lindoia S/N, KM 14</v>
      </c>
      <c r="E2" s="1" t="str">
        <f>ENTRADAS!D5</f>
        <v>SP</v>
      </c>
      <c r="F2" s="1" t="str">
        <f>ENTRADAS!D6</f>
        <v>Itapira</v>
      </c>
      <c r="G2" s="1" t="str">
        <f>ENTRADAS!D7</f>
        <v>13974-900</v>
      </c>
      <c r="H2" s="1" t="str">
        <f>ENTRADAS!D8</f>
        <v>Estudo realizado na Unidade I - SP</v>
      </c>
      <c r="I2" s="129">
        <f>ENTRADAS!K8</f>
        <v>45901</v>
      </c>
      <c r="J2" s="1" t="str">
        <f>ENTRADAS!D9</f>
        <v>Sala para Lavagem de Frascos</v>
      </c>
      <c r="K2" s="1" t="str">
        <f>ENTRADAS!D10</f>
        <v>NA</v>
      </c>
      <c r="L2" s="1" t="str">
        <f>ENTRADAS!D11</f>
        <v>**********</v>
      </c>
      <c r="M2" s="1" t="str">
        <f>ENTRADAS!D12</f>
        <v>**********</v>
      </c>
      <c r="N2" s="1">
        <f>ENTRADAS!D13</f>
        <v>24.6</v>
      </c>
      <c r="O2" s="1">
        <f>ENTRADAS!F13</f>
        <v>23.8</v>
      </c>
      <c r="P2" s="1">
        <f>ENTRADAS!D14</f>
        <v>61.3</v>
      </c>
      <c r="Q2" s="1">
        <f>ENTRADAS!F14</f>
        <v>50.9</v>
      </c>
      <c r="R2" s="50" t="str">
        <f>ENTRADAS!D15</f>
        <v>N/A</v>
      </c>
      <c r="S2" s="50" t="str">
        <f>ENTRADAS!D16</f>
        <v>Ar Comprimido</v>
      </c>
      <c r="T2" s="1" t="str">
        <f>ENTRADAS!D17</f>
        <v>Davidson Gomes</v>
      </c>
      <c r="U2" s="1" t="str">
        <f>ENTRADAS!D18</f>
        <v>Analista de Garantia da Qualidade</v>
      </c>
      <c r="V2" s="1" t="str">
        <f>ENTRADAS!D19</f>
        <v>Garantia  Qualidade</v>
      </c>
      <c r="W2" s="1" t="str">
        <f>ENTRADAS!D20</f>
        <v xml:space="preserve">(19) 3843-9436 </v>
      </c>
      <c r="X2" s="1" t="str">
        <f>ENTRADAS!D21</f>
        <v>davidson.gomes@cristalia.com.br</v>
      </c>
      <c r="Y2" s="1" t="str">
        <f>ENTRADAS!D22</f>
        <v>Davidson Gomes</v>
      </c>
      <c r="Z2" s="1" t="str">
        <f>ENTRADAS!D23</f>
        <v xml:space="preserve">Flávio A. Sanches Politi </v>
      </c>
      <c r="AA2" s="1" t="str">
        <f>ENTRADAS!D24</f>
        <v>**********</v>
      </c>
      <c r="AB2" s="1" t="str">
        <f>ENTRADAS!D25</f>
        <v>**********</v>
      </c>
      <c r="AC2" s="1" t="str">
        <f>ENTRADAS!D26</f>
        <v>Analista de Garantia da Qualidade</v>
      </c>
      <c r="AD2" s="1" t="str">
        <f>ENTRADAS!D27</f>
        <v>Pesquisador - DNP</v>
      </c>
      <c r="AE2" s="1" t="str">
        <f>ENTRADAS!D28</f>
        <v>************</v>
      </c>
      <c r="AF2" s="1" t="str">
        <f>ENTRADAS!D29</f>
        <v>**********</v>
      </c>
      <c r="AG2" s="1" t="str">
        <f>ENTRADAS!D33</f>
        <v>Supor Prime</v>
      </c>
      <c r="AH2" s="1" t="str">
        <f>ENTRADAS!D34</f>
        <v>Cytiva</v>
      </c>
      <c r="AI2" s="1" t="str">
        <f>ENTRADAS!D35</f>
        <v>MCE200ASP2AG</v>
      </c>
      <c r="AJ2" s="1" t="str">
        <f>ENTRADAS!D36</f>
        <v>UC1268</v>
      </c>
      <c r="AK2" s="51" t="str">
        <f>ENTRADAS!D37</f>
        <v>042</v>
      </c>
      <c r="AL2" s="1" t="str">
        <f>ENTRADAS!D38</f>
        <v>PES</v>
      </c>
      <c r="AM2" s="1" t="str">
        <f>ENTRADAS!D39</f>
        <v>≈ 1"</v>
      </c>
      <c r="AN2" s="1" t="str">
        <f>ENTRADAS!D40</f>
        <v>0,2µm</v>
      </c>
      <c r="AO2" s="1" t="str">
        <f>ENTRADAS!D41</f>
        <v>HH</v>
      </c>
      <c r="AP2" s="1" t="str">
        <f>ENTRADAS!D42</f>
        <v>NI</v>
      </c>
      <c r="AQ2" s="52">
        <f>ENTRADAS!D43</f>
        <v>60</v>
      </c>
      <c r="AR2" s="52">
        <f>ENTRADAS!D44</f>
        <v>48</v>
      </c>
      <c r="AS2" s="1" t="str">
        <f>ENTRADAS!D45</f>
        <v>Supor Prime</v>
      </c>
      <c r="AT2" s="1" t="str">
        <f>ENTRADAS!D46</f>
        <v>FTKASF</v>
      </c>
      <c r="AU2" s="1" t="str">
        <f>ENTRADAS!D47</f>
        <v>PES</v>
      </c>
      <c r="AV2" s="1" t="str">
        <f>ENTRADAS!D48</f>
        <v>47mm</v>
      </c>
      <c r="AW2" s="1" t="str">
        <f>ENTRADAS!D49</f>
        <v>0.2 µm</v>
      </c>
      <c r="AX2" s="1" t="str">
        <f>ENTRADAS!D50</f>
        <v>Holder 47mm</v>
      </c>
      <c r="AY2" s="51" t="str">
        <f>ENTRADAS!D51</f>
        <v>NX0781</v>
      </c>
      <c r="AZ2" s="51" t="str">
        <f>ENTRADAS!D52</f>
        <v>NX0781</v>
      </c>
      <c r="BA2" s="51" t="str">
        <f>ENTRADAS!D53</f>
        <v>NX0781</v>
      </c>
      <c r="BB2" s="1" t="str">
        <f>ENTRADAS!D54</f>
        <v>#1</v>
      </c>
      <c r="BC2" s="1" t="str">
        <f>ENTRADAS!D55</f>
        <v>#2</v>
      </c>
      <c r="BD2" s="1" t="str">
        <f>ENTRADAS!D56</f>
        <v>#3</v>
      </c>
      <c r="BE2" s="1" t="str">
        <f>ENTRADAS!D58</f>
        <v>N/A</v>
      </c>
      <c r="BF2" s="1" t="str">
        <f>ENTRADAS!D59</f>
        <v>N/A</v>
      </c>
      <c r="BG2" s="1" t="str">
        <f>ENTRADAS!D60</f>
        <v>WFI</v>
      </c>
      <c r="BH2" s="1">
        <f>ENTRADAS!D61</f>
        <v>19.7</v>
      </c>
      <c r="BI2" s="1" t="str">
        <f>ENTRADAS!D64</f>
        <v>Lipossomas de Resgate</v>
      </c>
      <c r="BJ2" s="1">
        <f>ENTRADAS!D65</f>
        <v>0</v>
      </c>
      <c r="BK2" s="1" t="str">
        <f>ENTRADAS!G65</f>
        <v>LIP_HFL_021</v>
      </c>
      <c r="BL2" s="1">
        <f>ENTRADAS!D66</f>
        <v>0</v>
      </c>
      <c r="BM2" s="1">
        <f>ENTRADAS!D67</f>
        <v>1000</v>
      </c>
      <c r="BN2" s="1">
        <f>ENTRADAS!D68</f>
        <v>24</v>
      </c>
      <c r="BO2" s="1">
        <f>ENTRADAS!E73</f>
        <v>8.4000000000000005E-2</v>
      </c>
      <c r="BP2" s="53">
        <f>ENTRADAS!F73</f>
        <v>8.4000000000000005E-2</v>
      </c>
      <c r="BQ2" s="77">
        <f>ENTRADAS!G73</f>
        <v>0</v>
      </c>
      <c r="BR2" s="1">
        <f>ENTRADAS!E74</f>
        <v>8.3000000000000004E-2</v>
      </c>
      <c r="BS2" s="1">
        <f>ENTRADAS!F74</f>
        <v>8.5000000000000006E-2</v>
      </c>
      <c r="BT2" s="77">
        <f>ENTRADAS!G74</f>
        <v>2.4096385542168693E-2</v>
      </c>
      <c r="BU2" s="1">
        <f>ENTRADAS!E75</f>
        <v>8.3000000000000004E-2</v>
      </c>
      <c r="BV2" s="1">
        <f>ENTRADAS!F75</f>
        <v>8.4000000000000005E-2</v>
      </c>
      <c r="BW2" s="77">
        <f>ENTRADAS!G75</f>
        <v>1.2048192771084347E-2</v>
      </c>
      <c r="BX2" s="53">
        <f>ENTRADAS!H73</f>
        <v>1.2048192771084347E-2</v>
      </c>
      <c r="BY2" s="1">
        <f>ENTRADAS!F77</f>
        <v>100</v>
      </c>
      <c r="BZ2" s="59">
        <f>ENTRADAS!E79</f>
        <v>3.2407407407407406E-4</v>
      </c>
      <c r="CA2" s="57">
        <f>ENTRADAS!F79</f>
        <v>214.28571428571428</v>
      </c>
      <c r="CB2" s="59">
        <f>ENTRADAS!G79</f>
        <v>4.861111111111111E-4</v>
      </c>
      <c r="CC2" s="57">
        <f>ENTRADAS!H79</f>
        <v>142.85714285714286</v>
      </c>
      <c r="CD2" s="50">
        <f>ENTRADAS!I79</f>
        <v>0.33333333333333331</v>
      </c>
      <c r="CE2" s="59">
        <f>ENTRADAS!E80</f>
        <v>3.2407407407407406E-4</v>
      </c>
      <c r="CF2" s="57">
        <f>ENTRADAS!F80</f>
        <v>214.28571428571428</v>
      </c>
      <c r="CG2" s="59">
        <f>ENTRADAS!G80</f>
        <v>4.5138888888888887E-4</v>
      </c>
      <c r="CH2" s="57">
        <f>ENTRADAS!H80</f>
        <v>153.84615384615384</v>
      </c>
      <c r="CI2" s="50">
        <f>ENTRADAS!I80</f>
        <v>0.28205128205128205</v>
      </c>
      <c r="CJ2" s="59">
        <f>ENTRADAS!E81</f>
        <v>3.1250000000000001E-4</v>
      </c>
      <c r="CK2" s="57">
        <f>ENTRADAS!F81</f>
        <v>222.22222222222223</v>
      </c>
      <c r="CL2" s="59">
        <f>ENTRADAS!G81</f>
        <v>5.2083333333333333E-4</v>
      </c>
      <c r="CM2" s="57">
        <f>ENTRADAS!H81</f>
        <v>133.33333333333334</v>
      </c>
      <c r="CN2" s="72">
        <f>ENTRADAS!I81</f>
        <v>0.39999999999999997</v>
      </c>
      <c r="CO2" s="72">
        <f>ENTRADAS!J79</f>
        <v>0.33846153846153842</v>
      </c>
      <c r="CP2" s="1">
        <f>ENTRADAS!E84</f>
        <v>64.099999999999994</v>
      </c>
      <c r="CQ2" s="46" t="str">
        <f>ENTRADAS!G84</f>
        <v>20250825095011</v>
      </c>
      <c r="CR2" s="1">
        <f>ENTRADAS!E85</f>
        <v>64.099999999999994</v>
      </c>
      <c r="CS2" s="46" t="str">
        <f>ENTRADAS!G85</f>
        <v>20250825100908</v>
      </c>
      <c r="CT2" s="1">
        <f>ENTRADAS!E86</f>
        <v>63.7</v>
      </c>
      <c r="CU2" s="46" t="str">
        <f>ENTRADAS!G86</f>
        <v>20250825103104</v>
      </c>
      <c r="CV2" s="1">
        <f>ENTRADAS!E89</f>
        <v>59.1</v>
      </c>
      <c r="CW2" s="46" t="str">
        <f>ENTRADAS!G89</f>
        <v>20250826135014</v>
      </c>
      <c r="CX2">
        <f>ENTRADAS!E90</f>
        <v>59.1</v>
      </c>
      <c r="CY2" s="46" t="str">
        <f>ENTRADAS!G90</f>
        <v>20250826140757</v>
      </c>
      <c r="CZ2" s="1">
        <f>ENTRADAS!E91</f>
        <v>59</v>
      </c>
      <c r="DA2" s="46" t="str">
        <f>ENTRADAS!G91</f>
        <v>20250826142549</v>
      </c>
      <c r="DB2" s="1">
        <f>ENTRADAS!E94</f>
        <v>60.3</v>
      </c>
      <c r="DC2" s="51" t="str">
        <f>ENTRADAS!G94</f>
        <v>20250826165700</v>
      </c>
      <c r="DD2" s="1">
        <f>ENTRADAS!E95</f>
        <v>67.7</v>
      </c>
      <c r="DE2" s="55" t="str">
        <f>ENTRADAS!G95</f>
        <v>20250826163934</v>
      </c>
      <c r="DF2" s="54">
        <f>ENTRADAS!E96</f>
        <v>64.8</v>
      </c>
      <c r="DG2" s="46" t="str">
        <f>ENTRADAS!G96</f>
        <v>20250826162259</v>
      </c>
      <c r="DH2" s="19">
        <f>ENTRADAS!D99</f>
        <v>45894</v>
      </c>
      <c r="DI2" s="19">
        <f>ENTRADAS!E99</f>
        <v>45895</v>
      </c>
      <c r="DJ2" s="56">
        <f>ENTRADAS!D100</f>
        <v>0.46875</v>
      </c>
      <c r="DK2" s="56">
        <f>ENTRADAS!E100</f>
        <v>0.56944444444444442</v>
      </c>
      <c r="DL2" t="str">
        <f>ENTRADAS!F99</f>
        <v>26:25</v>
      </c>
      <c r="DM2" s="1">
        <f>ENTRADAS!D103</f>
        <v>60</v>
      </c>
      <c r="DN2" s="49">
        <f>ENTRADAS!E106</f>
        <v>55.403999999999996</v>
      </c>
      <c r="DO2" s="54">
        <f>ENTRADAS!E107</f>
        <v>55.6</v>
      </c>
      <c r="DP2" s="46" t="str">
        <f>ENTRADAS!E108</f>
        <v>042</v>
      </c>
      <c r="DQ2" s="46" t="str">
        <f>ENTRADAS!E109</f>
        <v>NA</v>
      </c>
      <c r="DR2" s="125" t="str">
        <f>ENTRADAS!F107</f>
        <v>NA</v>
      </c>
      <c r="DS2" s="125" t="str">
        <f>ENTRADAS!F109</f>
        <v>NA</v>
      </c>
      <c r="DT2" s="57">
        <f>ENTRADAS!E112</f>
        <v>0.92200000000000004</v>
      </c>
      <c r="DU2" s="57">
        <f>ENTRADAS!E113</f>
        <v>0.92200000000000004</v>
      </c>
      <c r="DV2" s="48">
        <f>ENTRADAS!E114</f>
        <v>0.92620000000000002</v>
      </c>
      <c r="DW2">
        <f>ENTRADAS!E115</f>
        <v>0.9234</v>
      </c>
      <c r="DX2" s="49">
        <f>ENTRADAS!E116</f>
        <v>55.403999999999996</v>
      </c>
      <c r="DY2" t="str">
        <f>ENTRADAS!F119</f>
        <v>Aprovado</v>
      </c>
      <c r="DZ2" t="str">
        <f>ENTRADAS!F120</f>
        <v>Reprovado</v>
      </c>
      <c r="EA2" t="str">
        <f>ENTRADAS!F121</f>
        <v>Aprovado</v>
      </c>
      <c r="EB2" t="str">
        <f>ENTRADAS!F122</f>
        <v>Aprovado</v>
      </c>
      <c r="EC2" t="str">
        <f>ENTRADAS!F123</f>
        <v>Aprovado</v>
      </c>
      <c r="ED2" t="str">
        <f>ENTRADAS!F124</f>
        <v>Aprovado</v>
      </c>
      <c r="EE2" t="str">
        <f>ENTRADAS!F125</f>
        <v>Aprovado</v>
      </c>
      <c r="EF2" t="str">
        <f>ENTRADAS!F126</f>
        <v>Aprovado</v>
      </c>
      <c r="EG2" s="1">
        <f>ENTRADAS!J18</f>
        <v>15</v>
      </c>
      <c r="EH2" s="1">
        <f>ENTRADAS!J19</f>
        <v>30</v>
      </c>
      <c r="EI2" t="str">
        <f>ENTRADAS!I3</f>
        <v>Ver. 1.1</v>
      </c>
      <c r="EJ2" t="str">
        <f>ENTRADAS!G65</f>
        <v>LIP_HFL_021</v>
      </c>
    </row>
    <row r="3" spans="1:140" x14ac:dyDescent="0.25">
      <c r="DF3" s="35"/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E92BA-96B3-4E8D-9CC5-EE40418844A8}">
  <sheetPr codeName="Planilha3"/>
  <dimension ref="A3:L60"/>
  <sheetViews>
    <sheetView topLeftCell="C19" workbookViewId="0">
      <selection activeCell="L34" sqref="L34"/>
    </sheetView>
  </sheetViews>
  <sheetFormatPr defaultRowHeight="15" x14ac:dyDescent="0.25"/>
  <cols>
    <col min="1" max="1" width="19.28515625" bestFit="1" customWidth="1"/>
    <col min="2" max="2" width="70.5703125" bestFit="1" customWidth="1"/>
    <col min="3" max="3" width="10.7109375" bestFit="1" customWidth="1"/>
    <col min="4" max="4" width="41.85546875" bestFit="1" customWidth="1"/>
    <col min="5" max="5" width="15.5703125" bestFit="1" customWidth="1"/>
    <col min="6" max="6" width="3.85546875" bestFit="1" customWidth="1"/>
    <col min="7" max="7" width="24.140625" bestFit="1" customWidth="1"/>
    <col min="8" max="8" width="24.140625" customWidth="1"/>
    <col min="9" max="9" width="19.140625" bestFit="1" customWidth="1"/>
    <col min="10" max="10" width="15.140625" bestFit="1" customWidth="1"/>
    <col min="11" max="11" width="15.7109375" bestFit="1" customWidth="1"/>
    <col min="12" max="12" width="52.7109375" bestFit="1" customWidth="1"/>
  </cols>
  <sheetData>
    <row r="3" spans="1:12" x14ac:dyDescent="0.25">
      <c r="A3" s="4" t="s">
        <v>1</v>
      </c>
      <c r="B3" s="4" t="s">
        <v>45</v>
      </c>
      <c r="C3" s="4" t="s">
        <v>4</v>
      </c>
      <c r="D3" s="4" t="s">
        <v>46</v>
      </c>
      <c r="E3" s="4" t="s">
        <v>47</v>
      </c>
      <c r="F3" s="4" t="s">
        <v>3</v>
      </c>
      <c r="G3" s="4" t="s">
        <v>48</v>
      </c>
      <c r="H3" s="4" t="s">
        <v>8</v>
      </c>
      <c r="I3" s="4" t="s">
        <v>49</v>
      </c>
      <c r="J3" s="4" t="s">
        <v>50</v>
      </c>
      <c r="K3" s="4" t="s">
        <v>51</v>
      </c>
      <c r="L3" s="4" t="s">
        <v>52</v>
      </c>
    </row>
    <row r="4" spans="1:12" x14ac:dyDescent="0.25">
      <c r="A4" t="s">
        <v>54</v>
      </c>
      <c r="B4" t="s">
        <v>53</v>
      </c>
      <c r="C4" t="s">
        <v>55</v>
      </c>
      <c r="D4" t="s">
        <v>56</v>
      </c>
      <c r="E4" t="s">
        <v>57</v>
      </c>
      <c r="F4" t="s">
        <v>18</v>
      </c>
      <c r="G4" t="s">
        <v>58</v>
      </c>
      <c r="I4" t="s">
        <v>59</v>
      </c>
      <c r="J4" t="s">
        <v>60</v>
      </c>
      <c r="L4" t="s">
        <v>61</v>
      </c>
    </row>
    <row r="5" spans="1:12" x14ac:dyDescent="0.25">
      <c r="A5" t="s">
        <v>63</v>
      </c>
      <c r="B5" t="s">
        <v>62</v>
      </c>
      <c r="C5" t="s">
        <v>64</v>
      </c>
      <c r="D5" t="s">
        <v>65</v>
      </c>
      <c r="E5" t="s">
        <v>66</v>
      </c>
      <c r="F5" t="s">
        <v>67</v>
      </c>
      <c r="G5" t="s">
        <v>68</v>
      </c>
      <c r="I5" t="s">
        <v>69</v>
      </c>
      <c r="J5" t="s">
        <v>70</v>
      </c>
      <c r="K5" t="s">
        <v>71</v>
      </c>
      <c r="L5" t="s">
        <v>72</v>
      </c>
    </row>
    <row r="6" spans="1:12" x14ac:dyDescent="0.25">
      <c r="A6" t="s">
        <v>74</v>
      </c>
      <c r="B6" t="s">
        <v>73</v>
      </c>
      <c r="C6" t="s">
        <v>75</v>
      </c>
      <c r="D6" t="s">
        <v>76</v>
      </c>
      <c r="E6" t="s">
        <v>77</v>
      </c>
      <c r="F6" t="s">
        <v>18</v>
      </c>
      <c r="G6" t="s">
        <v>78</v>
      </c>
      <c r="I6" t="s">
        <v>59</v>
      </c>
      <c r="J6" t="s">
        <v>79</v>
      </c>
      <c r="K6" t="s">
        <v>80</v>
      </c>
      <c r="L6" t="s">
        <v>81</v>
      </c>
    </row>
    <row r="7" spans="1:12" x14ac:dyDescent="0.25">
      <c r="A7" t="s">
        <v>83</v>
      </c>
      <c r="B7" t="s">
        <v>82</v>
      </c>
      <c r="C7" t="s">
        <v>84</v>
      </c>
      <c r="D7" t="s">
        <v>85</v>
      </c>
      <c r="E7" t="s">
        <v>86</v>
      </c>
      <c r="F7" t="s">
        <v>87</v>
      </c>
      <c r="G7" t="s">
        <v>88</v>
      </c>
      <c r="I7" t="s">
        <v>89</v>
      </c>
      <c r="J7" t="s">
        <v>90</v>
      </c>
      <c r="K7" t="s">
        <v>91</v>
      </c>
      <c r="L7" t="s">
        <v>92</v>
      </c>
    </row>
    <row r="8" spans="1:12" x14ac:dyDescent="0.25">
      <c r="A8" t="s">
        <v>94</v>
      </c>
      <c r="B8" t="s">
        <v>93</v>
      </c>
      <c r="C8" t="s">
        <v>95</v>
      </c>
      <c r="D8" t="s">
        <v>96</v>
      </c>
      <c r="E8" t="s">
        <v>97</v>
      </c>
      <c r="F8" t="s">
        <v>18</v>
      </c>
      <c r="G8" t="s">
        <v>98</v>
      </c>
      <c r="I8" t="s">
        <v>59</v>
      </c>
      <c r="J8" t="s">
        <v>99</v>
      </c>
      <c r="K8" t="s">
        <v>99</v>
      </c>
      <c r="L8" t="s">
        <v>100</v>
      </c>
    </row>
    <row r="9" spans="1:12" x14ac:dyDescent="0.25">
      <c r="A9" t="s">
        <v>102</v>
      </c>
      <c r="B9" t="s">
        <v>101</v>
      </c>
      <c r="C9" t="s">
        <v>103</v>
      </c>
      <c r="D9" t="s">
        <v>104</v>
      </c>
      <c r="E9" t="s">
        <v>105</v>
      </c>
      <c r="F9" t="s">
        <v>18</v>
      </c>
      <c r="G9" t="s">
        <v>106</v>
      </c>
    </row>
    <row r="10" spans="1:12" x14ac:dyDescent="0.25">
      <c r="A10" t="s">
        <v>108</v>
      </c>
      <c r="B10" t="s">
        <v>107</v>
      </c>
      <c r="C10" t="s">
        <v>109</v>
      </c>
      <c r="D10" t="s">
        <v>110</v>
      </c>
      <c r="E10" t="s">
        <v>111</v>
      </c>
      <c r="F10" t="s">
        <v>112</v>
      </c>
      <c r="G10" t="s">
        <v>113</v>
      </c>
      <c r="I10" t="s">
        <v>114</v>
      </c>
      <c r="J10" t="s">
        <v>115</v>
      </c>
      <c r="K10" t="s">
        <v>116</v>
      </c>
      <c r="L10" t="s">
        <v>117</v>
      </c>
    </row>
    <row r="11" spans="1:12" x14ac:dyDescent="0.25">
      <c r="A11" t="s">
        <v>119</v>
      </c>
      <c r="B11" t="s">
        <v>118</v>
      </c>
      <c r="C11" t="s">
        <v>120</v>
      </c>
      <c r="D11" t="s">
        <v>121</v>
      </c>
      <c r="E11" t="s">
        <v>97</v>
      </c>
      <c r="F11" t="s">
        <v>18</v>
      </c>
      <c r="G11" t="s">
        <v>122</v>
      </c>
      <c r="I11" t="s">
        <v>123</v>
      </c>
      <c r="J11" t="s">
        <v>124</v>
      </c>
      <c r="L11" t="s">
        <v>125</v>
      </c>
    </row>
    <row r="12" spans="1:12" x14ac:dyDescent="0.25">
      <c r="A12" t="s">
        <v>127</v>
      </c>
      <c r="B12" t="s">
        <v>126</v>
      </c>
      <c r="C12" t="s">
        <v>128</v>
      </c>
      <c r="D12" t="s">
        <v>129</v>
      </c>
      <c r="E12" t="s">
        <v>130</v>
      </c>
      <c r="F12" t="s">
        <v>18</v>
      </c>
      <c r="G12" t="s">
        <v>131</v>
      </c>
      <c r="I12" t="s">
        <v>89</v>
      </c>
      <c r="J12" t="s">
        <v>132</v>
      </c>
      <c r="L12" t="s">
        <v>133</v>
      </c>
    </row>
    <row r="13" spans="1:12" x14ac:dyDescent="0.25">
      <c r="A13" t="s">
        <v>135</v>
      </c>
      <c r="B13" t="s">
        <v>134</v>
      </c>
      <c r="C13" t="s">
        <v>136</v>
      </c>
      <c r="D13" t="s">
        <v>137</v>
      </c>
      <c r="E13" t="s">
        <v>138</v>
      </c>
      <c r="F13" t="s">
        <v>18</v>
      </c>
      <c r="G13" t="s">
        <v>139</v>
      </c>
      <c r="I13" t="s">
        <v>28</v>
      </c>
      <c r="J13" t="s">
        <v>140</v>
      </c>
      <c r="K13" t="s">
        <v>140</v>
      </c>
      <c r="L13" t="s">
        <v>141</v>
      </c>
    </row>
    <row r="14" spans="1:12" x14ac:dyDescent="0.25">
      <c r="A14" t="s">
        <v>143</v>
      </c>
      <c r="B14" t="s">
        <v>142</v>
      </c>
      <c r="C14" t="s">
        <v>144</v>
      </c>
      <c r="D14" t="s">
        <v>145</v>
      </c>
      <c r="E14" t="s">
        <v>146</v>
      </c>
      <c r="F14" t="s">
        <v>147</v>
      </c>
      <c r="G14" t="s">
        <v>148</v>
      </c>
      <c r="I14" t="s">
        <v>59</v>
      </c>
      <c r="J14" t="s">
        <v>149</v>
      </c>
      <c r="K14" t="s">
        <v>149</v>
      </c>
      <c r="L14" t="s">
        <v>150</v>
      </c>
    </row>
    <row r="15" spans="1:12" x14ac:dyDescent="0.25">
      <c r="A15" t="s">
        <v>152</v>
      </c>
      <c r="B15" t="s">
        <v>151</v>
      </c>
      <c r="C15" t="s">
        <v>153</v>
      </c>
      <c r="D15" t="s">
        <v>154</v>
      </c>
      <c r="E15" t="s">
        <v>77</v>
      </c>
      <c r="F15" t="s">
        <v>18</v>
      </c>
      <c r="G15" t="s">
        <v>155</v>
      </c>
      <c r="I15" t="s">
        <v>156</v>
      </c>
      <c r="J15" t="s">
        <v>157</v>
      </c>
      <c r="K15" t="s">
        <v>158</v>
      </c>
      <c r="L15" t="s">
        <v>159</v>
      </c>
    </row>
    <row r="16" spans="1:12" x14ac:dyDescent="0.25">
      <c r="A16" t="s">
        <v>161</v>
      </c>
      <c r="B16" t="s">
        <v>160</v>
      </c>
      <c r="C16" t="s">
        <v>162</v>
      </c>
      <c r="D16" t="s">
        <v>163</v>
      </c>
      <c r="E16" t="s">
        <v>164</v>
      </c>
      <c r="F16" t="s">
        <v>18</v>
      </c>
      <c r="G16" t="s">
        <v>165</v>
      </c>
      <c r="I16" t="s">
        <v>59</v>
      </c>
      <c r="J16" t="s">
        <v>166</v>
      </c>
      <c r="K16" t="s">
        <v>166</v>
      </c>
      <c r="L16" t="s">
        <v>167</v>
      </c>
    </row>
    <row r="17" spans="1:12" x14ac:dyDescent="0.25">
      <c r="A17" t="s">
        <v>169</v>
      </c>
      <c r="B17" t="s">
        <v>168</v>
      </c>
      <c r="C17" t="s">
        <v>170</v>
      </c>
      <c r="D17" t="s">
        <v>171</v>
      </c>
      <c r="E17" t="s">
        <v>97</v>
      </c>
      <c r="F17" t="s">
        <v>18</v>
      </c>
      <c r="G17" t="s">
        <v>172</v>
      </c>
      <c r="I17" t="s">
        <v>59</v>
      </c>
      <c r="J17" t="s">
        <v>173</v>
      </c>
      <c r="L17" t="s">
        <v>174</v>
      </c>
    </row>
    <row r="18" spans="1:12" x14ac:dyDescent="0.25">
      <c r="A18" t="s">
        <v>176</v>
      </c>
      <c r="B18" t="s">
        <v>175</v>
      </c>
      <c r="C18" t="s">
        <v>177</v>
      </c>
      <c r="D18" t="s">
        <v>178</v>
      </c>
      <c r="E18" t="s">
        <v>179</v>
      </c>
      <c r="F18" t="s">
        <v>180</v>
      </c>
      <c r="G18" t="s">
        <v>181</v>
      </c>
      <c r="I18" t="s">
        <v>182</v>
      </c>
      <c r="J18" t="s">
        <v>183</v>
      </c>
      <c r="K18" t="s">
        <v>183</v>
      </c>
      <c r="L18" t="s">
        <v>184</v>
      </c>
    </row>
    <row r="19" spans="1:12" x14ac:dyDescent="0.25">
      <c r="A19" t="s">
        <v>186</v>
      </c>
      <c r="B19" t="s">
        <v>185</v>
      </c>
      <c r="C19" t="s">
        <v>187</v>
      </c>
      <c r="D19" t="s">
        <v>188</v>
      </c>
      <c r="E19" t="s">
        <v>189</v>
      </c>
      <c r="F19" t="s">
        <v>112</v>
      </c>
      <c r="G19" t="s">
        <v>190</v>
      </c>
      <c r="I19" t="s">
        <v>191</v>
      </c>
      <c r="J19" t="s">
        <v>192</v>
      </c>
      <c r="K19" t="s">
        <v>192</v>
      </c>
      <c r="L19" t="s">
        <v>193</v>
      </c>
    </row>
    <row r="20" spans="1:12" x14ac:dyDescent="0.25">
      <c r="A20" t="s">
        <v>195</v>
      </c>
      <c r="B20" t="s">
        <v>194</v>
      </c>
      <c r="C20" t="s">
        <v>196</v>
      </c>
      <c r="D20" t="s">
        <v>197</v>
      </c>
      <c r="E20" t="s">
        <v>198</v>
      </c>
      <c r="F20" t="s">
        <v>18</v>
      </c>
      <c r="G20" t="s">
        <v>199</v>
      </c>
      <c r="I20" t="s">
        <v>200</v>
      </c>
      <c r="J20" t="s">
        <v>201</v>
      </c>
      <c r="L20" t="s">
        <v>202</v>
      </c>
    </row>
    <row r="21" spans="1:12" x14ac:dyDescent="0.25">
      <c r="A21" t="s">
        <v>204</v>
      </c>
      <c r="B21" t="s">
        <v>203</v>
      </c>
      <c r="C21" t="s">
        <v>205</v>
      </c>
      <c r="D21" t="s">
        <v>206</v>
      </c>
      <c r="E21" t="s">
        <v>207</v>
      </c>
      <c r="F21" t="s">
        <v>18</v>
      </c>
      <c r="G21" t="s">
        <v>208</v>
      </c>
      <c r="I21" t="s">
        <v>59</v>
      </c>
      <c r="J21" t="s">
        <v>209</v>
      </c>
      <c r="K21" t="s">
        <v>210</v>
      </c>
      <c r="L21" t="s">
        <v>211</v>
      </c>
    </row>
    <row r="22" spans="1:12" x14ac:dyDescent="0.25">
      <c r="A22" t="s">
        <v>213</v>
      </c>
      <c r="B22" t="s">
        <v>212</v>
      </c>
      <c r="C22" t="s">
        <v>214</v>
      </c>
      <c r="D22" t="s">
        <v>215</v>
      </c>
      <c r="E22" t="s">
        <v>57</v>
      </c>
      <c r="F22" t="s">
        <v>18</v>
      </c>
      <c r="G22" t="s">
        <v>216</v>
      </c>
      <c r="I22" t="s">
        <v>59</v>
      </c>
      <c r="J22" t="s">
        <v>217</v>
      </c>
      <c r="L22" t="s">
        <v>218</v>
      </c>
    </row>
    <row r="23" spans="1:12" x14ac:dyDescent="0.25">
      <c r="A23" t="s">
        <v>220</v>
      </c>
      <c r="B23" t="s">
        <v>219</v>
      </c>
      <c r="C23" t="s">
        <v>221</v>
      </c>
      <c r="D23" t="s">
        <v>222</v>
      </c>
      <c r="E23" t="s">
        <v>223</v>
      </c>
      <c r="F23" t="s">
        <v>147</v>
      </c>
      <c r="G23" t="s">
        <v>224</v>
      </c>
      <c r="I23" t="s">
        <v>89</v>
      </c>
      <c r="J23" t="s">
        <v>225</v>
      </c>
      <c r="L23" t="s">
        <v>226</v>
      </c>
    </row>
    <row r="24" spans="1:12" x14ac:dyDescent="0.25">
      <c r="A24" t="s">
        <v>228</v>
      </c>
      <c r="B24" t="s">
        <v>227</v>
      </c>
      <c r="C24" t="s">
        <v>229</v>
      </c>
      <c r="D24" t="s">
        <v>230</v>
      </c>
      <c r="E24" t="s">
        <v>97</v>
      </c>
      <c r="F24" t="s">
        <v>18</v>
      </c>
      <c r="G24" t="s">
        <v>231</v>
      </c>
      <c r="I24" t="s">
        <v>28</v>
      </c>
      <c r="J24" t="s">
        <v>232</v>
      </c>
      <c r="K24" t="s">
        <v>233</v>
      </c>
      <c r="L24" t="s">
        <v>234</v>
      </c>
    </row>
    <row r="25" spans="1:12" x14ac:dyDescent="0.25">
      <c r="A25" t="s">
        <v>236</v>
      </c>
      <c r="B25" t="s">
        <v>235</v>
      </c>
      <c r="C25" t="s">
        <v>237</v>
      </c>
      <c r="D25" t="s">
        <v>238</v>
      </c>
      <c r="E25" t="s">
        <v>239</v>
      </c>
      <c r="F25" t="s">
        <v>147</v>
      </c>
      <c r="G25" t="s">
        <v>240</v>
      </c>
      <c r="I25" t="s">
        <v>59</v>
      </c>
      <c r="J25" t="s">
        <v>241</v>
      </c>
      <c r="K25" t="s">
        <v>242</v>
      </c>
      <c r="L25" t="s">
        <v>243</v>
      </c>
    </row>
    <row r="26" spans="1:12" x14ac:dyDescent="0.25">
      <c r="A26" t="s">
        <v>245</v>
      </c>
      <c r="B26" t="s">
        <v>244</v>
      </c>
      <c r="C26" t="s">
        <v>246</v>
      </c>
      <c r="D26" t="s">
        <v>247</v>
      </c>
      <c r="E26" t="s">
        <v>97</v>
      </c>
      <c r="F26" t="s">
        <v>18</v>
      </c>
      <c r="G26" t="s">
        <v>248</v>
      </c>
      <c r="I26" t="s">
        <v>249</v>
      </c>
      <c r="J26" t="s">
        <v>250</v>
      </c>
      <c r="K26" t="s">
        <v>250</v>
      </c>
      <c r="L26" t="s">
        <v>251</v>
      </c>
    </row>
    <row r="27" spans="1:12" x14ac:dyDescent="0.25">
      <c r="A27" t="s">
        <v>253</v>
      </c>
      <c r="B27" t="s">
        <v>252</v>
      </c>
      <c r="C27" t="s">
        <v>254</v>
      </c>
      <c r="D27" t="s">
        <v>255</v>
      </c>
      <c r="E27" t="s">
        <v>105</v>
      </c>
      <c r="F27" t="s">
        <v>18</v>
      </c>
      <c r="G27" t="s">
        <v>256</v>
      </c>
      <c r="I27" t="s">
        <v>59</v>
      </c>
      <c r="J27" t="s">
        <v>257</v>
      </c>
      <c r="L27" t="s">
        <v>258</v>
      </c>
    </row>
    <row r="28" spans="1:12" x14ac:dyDescent="0.25">
      <c r="A28" t="s">
        <v>260</v>
      </c>
      <c r="B28" t="s">
        <v>259</v>
      </c>
      <c r="C28" t="s">
        <v>261</v>
      </c>
      <c r="D28" t="s">
        <v>262</v>
      </c>
      <c r="E28" t="s">
        <v>97</v>
      </c>
      <c r="F28" t="s">
        <v>18</v>
      </c>
      <c r="G28" t="s">
        <v>263</v>
      </c>
      <c r="I28" t="s">
        <v>28</v>
      </c>
      <c r="J28" t="s">
        <v>264</v>
      </c>
      <c r="K28" t="s">
        <v>265</v>
      </c>
      <c r="L28" t="s">
        <v>266</v>
      </c>
    </row>
    <row r="29" spans="1:12" x14ac:dyDescent="0.25">
      <c r="A29" t="s">
        <v>268</v>
      </c>
      <c r="B29" t="s">
        <v>267</v>
      </c>
      <c r="C29" t="s">
        <v>269</v>
      </c>
      <c r="D29" t="s">
        <v>270</v>
      </c>
      <c r="E29" t="s">
        <v>271</v>
      </c>
      <c r="F29" t="s">
        <v>18</v>
      </c>
      <c r="G29" t="s">
        <v>272</v>
      </c>
      <c r="I29" t="s">
        <v>273</v>
      </c>
      <c r="J29" t="s">
        <v>274</v>
      </c>
      <c r="K29" t="s">
        <v>275</v>
      </c>
      <c r="L29" t="s">
        <v>276</v>
      </c>
    </row>
    <row r="30" spans="1:12" x14ac:dyDescent="0.25">
      <c r="A30" t="s">
        <v>278</v>
      </c>
      <c r="B30" t="s">
        <v>277</v>
      </c>
      <c r="C30" t="s">
        <v>279</v>
      </c>
      <c r="D30" t="s">
        <v>280</v>
      </c>
      <c r="E30" t="s">
        <v>97</v>
      </c>
      <c r="F30" t="s">
        <v>18</v>
      </c>
      <c r="G30" t="s">
        <v>281</v>
      </c>
      <c r="I30" t="s">
        <v>28</v>
      </c>
      <c r="J30" t="s">
        <v>282</v>
      </c>
      <c r="K30" t="s">
        <v>282</v>
      </c>
      <c r="L30" t="s">
        <v>283</v>
      </c>
    </row>
    <row r="31" spans="1:12" x14ac:dyDescent="0.25">
      <c r="A31" t="s">
        <v>220</v>
      </c>
      <c r="B31" t="s">
        <v>284</v>
      </c>
      <c r="C31" t="s">
        <v>221</v>
      </c>
      <c r="D31" t="s">
        <v>285</v>
      </c>
      <c r="E31" t="s">
        <v>223</v>
      </c>
      <c r="F31" t="s">
        <v>147</v>
      </c>
      <c r="G31" t="s">
        <v>286</v>
      </c>
      <c r="I31" t="s">
        <v>200</v>
      </c>
      <c r="J31" t="s">
        <v>287</v>
      </c>
      <c r="K31" t="s">
        <v>288</v>
      </c>
      <c r="L31" t="s">
        <v>289</v>
      </c>
    </row>
    <row r="32" spans="1:12" x14ac:dyDescent="0.25">
      <c r="A32" t="s">
        <v>764</v>
      </c>
      <c r="B32" t="s">
        <v>12</v>
      </c>
      <c r="C32" t="s">
        <v>196</v>
      </c>
      <c r="D32" t="s">
        <v>765</v>
      </c>
      <c r="E32" t="s">
        <v>766</v>
      </c>
      <c r="F32" t="s">
        <v>18</v>
      </c>
      <c r="G32" t="s">
        <v>19</v>
      </c>
      <c r="H32" t="s">
        <v>500</v>
      </c>
      <c r="I32" t="s">
        <v>200</v>
      </c>
      <c r="J32" t="s">
        <v>767</v>
      </c>
      <c r="K32" t="s">
        <v>767</v>
      </c>
      <c r="L32" s="3" t="s">
        <v>20</v>
      </c>
    </row>
    <row r="33" spans="1:12" x14ac:dyDescent="0.25">
      <c r="A33" s="93" t="s">
        <v>17</v>
      </c>
      <c r="B33" t="s">
        <v>12</v>
      </c>
      <c r="C33" t="s">
        <v>770</v>
      </c>
      <c r="D33" t="s">
        <v>771</v>
      </c>
      <c r="E33" t="s">
        <v>772</v>
      </c>
      <c r="F33" t="s">
        <v>18</v>
      </c>
      <c r="G33" t="s">
        <v>981</v>
      </c>
      <c r="H33" t="s">
        <v>781</v>
      </c>
      <c r="I33" t="s">
        <v>200</v>
      </c>
      <c r="J33" t="s">
        <v>983</v>
      </c>
      <c r="K33" t="s">
        <v>983</v>
      </c>
      <c r="L33" s="3" t="s">
        <v>982</v>
      </c>
    </row>
    <row r="34" spans="1:12" x14ac:dyDescent="0.25">
      <c r="A34" t="s">
        <v>291</v>
      </c>
      <c r="B34" t="s">
        <v>290</v>
      </c>
      <c r="C34" t="s">
        <v>292</v>
      </c>
      <c r="D34" t="s">
        <v>293</v>
      </c>
      <c r="E34" t="s">
        <v>294</v>
      </c>
      <c r="F34" t="s">
        <v>18</v>
      </c>
      <c r="G34" t="s">
        <v>295</v>
      </c>
      <c r="I34" t="s">
        <v>296</v>
      </c>
      <c r="L34" t="s">
        <v>297</v>
      </c>
    </row>
    <row r="35" spans="1:12" x14ac:dyDescent="0.25">
      <c r="A35" t="s">
        <v>299</v>
      </c>
      <c r="B35" t="s">
        <v>298</v>
      </c>
      <c r="C35" t="s">
        <v>300</v>
      </c>
      <c r="D35" t="s">
        <v>301</v>
      </c>
      <c r="E35" t="s">
        <v>97</v>
      </c>
      <c r="F35" t="s">
        <v>18</v>
      </c>
      <c r="G35" t="s">
        <v>302</v>
      </c>
      <c r="I35" t="s">
        <v>303</v>
      </c>
      <c r="J35" t="s">
        <v>304</v>
      </c>
      <c r="K35" t="s">
        <v>305</v>
      </c>
      <c r="L35" t="s">
        <v>306</v>
      </c>
    </row>
    <row r="36" spans="1:12" x14ac:dyDescent="0.25">
      <c r="A36" t="s">
        <v>308</v>
      </c>
      <c r="B36" t="s">
        <v>307</v>
      </c>
      <c r="C36" t="s">
        <v>309</v>
      </c>
      <c r="D36" t="s">
        <v>310</v>
      </c>
      <c r="E36" t="s">
        <v>311</v>
      </c>
      <c r="F36" t="s">
        <v>18</v>
      </c>
      <c r="G36" t="s">
        <v>312</v>
      </c>
      <c r="I36" t="s">
        <v>59</v>
      </c>
      <c r="J36" t="s">
        <v>313</v>
      </c>
      <c r="K36" t="s">
        <v>313</v>
      </c>
      <c r="L36" t="s">
        <v>314</v>
      </c>
    </row>
    <row r="37" spans="1:12" x14ac:dyDescent="0.25">
      <c r="A37" t="s">
        <v>316</v>
      </c>
      <c r="B37" t="s">
        <v>315</v>
      </c>
      <c r="C37" t="s">
        <v>317</v>
      </c>
      <c r="D37" t="s">
        <v>318</v>
      </c>
      <c r="E37" t="s">
        <v>97</v>
      </c>
      <c r="F37" t="s">
        <v>18</v>
      </c>
      <c r="G37" t="s">
        <v>319</v>
      </c>
      <c r="I37" t="s">
        <v>320</v>
      </c>
      <c r="J37" t="s">
        <v>321</v>
      </c>
      <c r="K37" t="s">
        <v>322</v>
      </c>
      <c r="L37" t="s">
        <v>323</v>
      </c>
    </row>
    <row r="38" spans="1:12" x14ac:dyDescent="0.25">
      <c r="A38" t="s">
        <v>325</v>
      </c>
      <c r="B38" t="s">
        <v>324</v>
      </c>
      <c r="C38" t="s">
        <v>326</v>
      </c>
      <c r="D38" t="s">
        <v>327</v>
      </c>
      <c r="E38" t="s">
        <v>328</v>
      </c>
      <c r="F38" t="s">
        <v>87</v>
      </c>
      <c r="G38" t="s">
        <v>329</v>
      </c>
      <c r="I38" t="s">
        <v>89</v>
      </c>
      <c r="J38" t="s">
        <v>330</v>
      </c>
      <c r="K38" t="s">
        <v>330</v>
      </c>
      <c r="L38" t="s">
        <v>331</v>
      </c>
    </row>
    <row r="39" spans="1:12" x14ac:dyDescent="0.25">
      <c r="A39" t="s">
        <v>333</v>
      </c>
      <c r="B39" t="s">
        <v>332</v>
      </c>
      <c r="C39" t="s">
        <v>334</v>
      </c>
      <c r="D39" t="s">
        <v>335</v>
      </c>
      <c r="E39" t="s">
        <v>336</v>
      </c>
      <c r="F39" t="s">
        <v>18</v>
      </c>
      <c r="G39" t="s">
        <v>337</v>
      </c>
      <c r="I39" t="s">
        <v>182</v>
      </c>
      <c r="J39" t="s">
        <v>338</v>
      </c>
      <c r="K39" t="s">
        <v>338</v>
      </c>
      <c r="L39" t="s">
        <v>339</v>
      </c>
    </row>
    <row r="40" spans="1:12" x14ac:dyDescent="0.25">
      <c r="A40" t="s">
        <v>341</v>
      </c>
      <c r="B40" t="s">
        <v>340</v>
      </c>
    </row>
    <row r="41" spans="1:12" x14ac:dyDescent="0.25">
      <c r="A41" t="s">
        <v>343</v>
      </c>
      <c r="B41" t="s">
        <v>342</v>
      </c>
      <c r="C41" t="s">
        <v>344</v>
      </c>
      <c r="D41" t="s">
        <v>345</v>
      </c>
      <c r="E41" t="s">
        <v>346</v>
      </c>
      <c r="F41" t="s">
        <v>18</v>
      </c>
      <c r="G41" t="s">
        <v>347</v>
      </c>
      <c r="I41" t="s">
        <v>182</v>
      </c>
      <c r="J41" t="s">
        <v>348</v>
      </c>
      <c r="K41" t="s">
        <v>349</v>
      </c>
      <c r="L41" t="s">
        <v>350</v>
      </c>
    </row>
    <row r="42" spans="1:12" x14ac:dyDescent="0.25">
      <c r="A42" t="s">
        <v>352</v>
      </c>
      <c r="B42" t="s">
        <v>351</v>
      </c>
      <c r="C42" t="s">
        <v>353</v>
      </c>
      <c r="D42" t="s">
        <v>354</v>
      </c>
      <c r="E42" t="s">
        <v>355</v>
      </c>
      <c r="F42" t="s">
        <v>18</v>
      </c>
      <c r="G42" t="s">
        <v>356</v>
      </c>
      <c r="I42" t="s">
        <v>357</v>
      </c>
      <c r="J42" t="s">
        <v>358</v>
      </c>
      <c r="K42" t="s">
        <v>359</v>
      </c>
      <c r="L42" t="s">
        <v>360</v>
      </c>
    </row>
    <row r="43" spans="1:12" x14ac:dyDescent="0.25">
      <c r="A43" t="s">
        <v>362</v>
      </c>
      <c r="B43" t="s">
        <v>361</v>
      </c>
      <c r="C43" t="s">
        <v>363</v>
      </c>
      <c r="D43" t="s">
        <v>364</v>
      </c>
      <c r="E43" t="s">
        <v>365</v>
      </c>
      <c r="F43" t="s">
        <v>18</v>
      </c>
      <c r="G43" t="s">
        <v>366</v>
      </c>
      <c r="I43" t="s">
        <v>28</v>
      </c>
      <c r="J43" t="s">
        <v>367</v>
      </c>
      <c r="K43" t="s">
        <v>367</v>
      </c>
      <c r="L43" t="s">
        <v>368</v>
      </c>
    </row>
    <row r="44" spans="1:12" x14ac:dyDescent="0.25">
      <c r="A44" t="s">
        <v>370</v>
      </c>
      <c r="B44" t="s">
        <v>369</v>
      </c>
      <c r="C44" t="s">
        <v>371</v>
      </c>
      <c r="D44" t="s">
        <v>372</v>
      </c>
      <c r="E44" t="s">
        <v>373</v>
      </c>
      <c r="F44" t="s">
        <v>18</v>
      </c>
      <c r="G44" t="s">
        <v>374</v>
      </c>
      <c r="I44" t="s">
        <v>375</v>
      </c>
      <c r="J44" t="s">
        <v>376</v>
      </c>
      <c r="K44" t="s">
        <v>377</v>
      </c>
      <c r="L44" t="s">
        <v>378</v>
      </c>
    </row>
    <row r="45" spans="1:12" x14ac:dyDescent="0.25">
      <c r="A45" t="s">
        <v>380</v>
      </c>
      <c r="B45" t="s">
        <v>379</v>
      </c>
      <c r="C45" t="s">
        <v>381</v>
      </c>
      <c r="D45" t="s">
        <v>382</v>
      </c>
      <c r="E45" t="s">
        <v>383</v>
      </c>
      <c r="F45" t="s">
        <v>18</v>
      </c>
      <c r="G45" t="s">
        <v>384</v>
      </c>
      <c r="I45" t="s">
        <v>385</v>
      </c>
      <c r="J45" t="s">
        <v>386</v>
      </c>
      <c r="K45" t="s">
        <v>386</v>
      </c>
      <c r="L45" t="s">
        <v>387</v>
      </c>
    </row>
    <row r="46" spans="1:12" x14ac:dyDescent="0.25">
      <c r="A46" t="s">
        <v>389</v>
      </c>
      <c r="B46" t="s">
        <v>388</v>
      </c>
      <c r="C46" t="s">
        <v>390</v>
      </c>
      <c r="D46" t="s">
        <v>391</v>
      </c>
      <c r="E46" t="s">
        <v>392</v>
      </c>
      <c r="F46" t="s">
        <v>18</v>
      </c>
      <c r="G46" t="s">
        <v>393</v>
      </c>
      <c r="I46" t="s">
        <v>28</v>
      </c>
      <c r="J46" t="s">
        <v>394</v>
      </c>
      <c r="K46" t="s">
        <v>395</v>
      </c>
      <c r="L46" t="s">
        <v>396</v>
      </c>
    </row>
    <row r="47" spans="1:12" x14ac:dyDescent="0.25">
      <c r="A47" t="s">
        <v>398</v>
      </c>
      <c r="B47" t="s">
        <v>397</v>
      </c>
      <c r="C47" t="s">
        <v>399</v>
      </c>
      <c r="D47" t="s">
        <v>400</v>
      </c>
      <c r="E47" t="s">
        <v>401</v>
      </c>
      <c r="F47" t="s">
        <v>18</v>
      </c>
      <c r="G47" t="s">
        <v>402</v>
      </c>
      <c r="I47" t="s">
        <v>303</v>
      </c>
      <c r="J47" t="s">
        <v>403</v>
      </c>
      <c r="K47" t="s">
        <v>404</v>
      </c>
      <c r="L47" t="s">
        <v>405</v>
      </c>
    </row>
    <row r="48" spans="1:12" x14ac:dyDescent="0.25">
      <c r="A48" t="s">
        <v>407</v>
      </c>
      <c r="B48" t="s">
        <v>406</v>
      </c>
      <c r="C48" t="s">
        <v>408</v>
      </c>
      <c r="D48" t="s">
        <v>409</v>
      </c>
      <c r="E48" t="s">
        <v>198</v>
      </c>
      <c r="F48" t="s">
        <v>18</v>
      </c>
      <c r="G48" t="s">
        <v>410</v>
      </c>
      <c r="I48" t="s">
        <v>303</v>
      </c>
      <c r="J48" t="s">
        <v>411</v>
      </c>
      <c r="K48" t="s">
        <v>412</v>
      </c>
      <c r="L48" t="s">
        <v>413</v>
      </c>
    </row>
    <row r="49" spans="1:12" x14ac:dyDescent="0.25">
      <c r="A49" t="s">
        <v>415</v>
      </c>
      <c r="B49" t="s">
        <v>414</v>
      </c>
      <c r="C49" t="s">
        <v>416</v>
      </c>
      <c r="D49" t="s">
        <v>417</v>
      </c>
      <c r="E49" t="s">
        <v>97</v>
      </c>
      <c r="F49" t="s">
        <v>18</v>
      </c>
      <c r="G49" t="s">
        <v>418</v>
      </c>
      <c r="I49" t="s">
        <v>357</v>
      </c>
      <c r="J49" t="s">
        <v>419</v>
      </c>
      <c r="K49" t="s">
        <v>420</v>
      </c>
      <c r="L49" t="s">
        <v>421</v>
      </c>
    </row>
    <row r="50" spans="1:12" x14ac:dyDescent="0.25">
      <c r="A50" t="s">
        <v>422</v>
      </c>
      <c r="B50" t="s">
        <v>414</v>
      </c>
      <c r="D50" t="s">
        <v>423</v>
      </c>
      <c r="E50" t="s">
        <v>424</v>
      </c>
      <c r="F50" t="s">
        <v>18</v>
      </c>
      <c r="G50" t="s">
        <v>418</v>
      </c>
      <c r="I50" t="s">
        <v>357</v>
      </c>
      <c r="J50" t="s">
        <v>419</v>
      </c>
      <c r="K50" t="s">
        <v>420</v>
      </c>
      <c r="L50" t="s">
        <v>421</v>
      </c>
    </row>
    <row r="51" spans="1:12" x14ac:dyDescent="0.25">
      <c r="A51" t="s">
        <v>426</v>
      </c>
      <c r="B51" t="s">
        <v>425</v>
      </c>
      <c r="C51" t="s">
        <v>427</v>
      </c>
      <c r="D51" t="s">
        <v>428</v>
      </c>
      <c r="E51" t="s">
        <v>429</v>
      </c>
      <c r="F51" t="s">
        <v>430</v>
      </c>
      <c r="G51" t="s">
        <v>431</v>
      </c>
      <c r="I51" t="s">
        <v>89</v>
      </c>
      <c r="J51" t="s">
        <v>432</v>
      </c>
      <c r="K51" t="s">
        <v>432</v>
      </c>
      <c r="L51" t="s">
        <v>433</v>
      </c>
    </row>
    <row r="52" spans="1:12" x14ac:dyDescent="0.25">
      <c r="A52" t="s">
        <v>325</v>
      </c>
      <c r="B52" t="s">
        <v>324</v>
      </c>
      <c r="C52" t="s">
        <v>326</v>
      </c>
      <c r="D52" t="s">
        <v>434</v>
      </c>
      <c r="E52" t="s">
        <v>435</v>
      </c>
      <c r="F52" t="s">
        <v>87</v>
      </c>
      <c r="G52" t="s">
        <v>329</v>
      </c>
      <c r="I52" t="s">
        <v>89</v>
      </c>
      <c r="J52" t="s">
        <v>330</v>
      </c>
      <c r="K52" t="s">
        <v>330</v>
      </c>
      <c r="L52" t="s">
        <v>331</v>
      </c>
    </row>
    <row r="53" spans="1:12" x14ac:dyDescent="0.25">
      <c r="A53" t="s">
        <v>437</v>
      </c>
      <c r="B53" t="s">
        <v>436</v>
      </c>
      <c r="C53" t="s">
        <v>438</v>
      </c>
      <c r="D53" t="s">
        <v>439</v>
      </c>
      <c r="E53" t="s">
        <v>440</v>
      </c>
      <c r="F53" t="s">
        <v>180</v>
      </c>
      <c r="G53" t="s">
        <v>441</v>
      </c>
      <c r="I53" t="s">
        <v>89</v>
      </c>
      <c r="J53" t="s">
        <v>442</v>
      </c>
      <c r="K53" t="s">
        <v>443</v>
      </c>
      <c r="L53" t="s">
        <v>444</v>
      </c>
    </row>
    <row r="54" spans="1:12" x14ac:dyDescent="0.25">
      <c r="A54" t="s">
        <v>446</v>
      </c>
      <c r="B54" t="s">
        <v>445</v>
      </c>
      <c r="C54" t="s">
        <v>447</v>
      </c>
      <c r="D54" t="s">
        <v>448</v>
      </c>
      <c r="E54" t="s">
        <v>449</v>
      </c>
      <c r="F54" t="s">
        <v>450</v>
      </c>
      <c r="G54" t="s">
        <v>451</v>
      </c>
      <c r="I54" t="s">
        <v>28</v>
      </c>
      <c r="J54" t="s">
        <v>452</v>
      </c>
      <c r="K54" t="s">
        <v>453</v>
      </c>
      <c r="L54" t="s">
        <v>454</v>
      </c>
    </row>
    <row r="55" spans="1:12" x14ac:dyDescent="0.25">
      <c r="A55" t="s">
        <v>456</v>
      </c>
      <c r="B55" t="s">
        <v>455</v>
      </c>
      <c r="C55" t="s">
        <v>457</v>
      </c>
      <c r="D55" t="s">
        <v>458</v>
      </c>
      <c r="E55" t="s">
        <v>424</v>
      </c>
      <c r="F55" t="s">
        <v>18</v>
      </c>
      <c r="G55" t="s">
        <v>459</v>
      </c>
      <c r="I55" t="s">
        <v>460</v>
      </c>
      <c r="J55" t="s">
        <v>21</v>
      </c>
      <c r="K55" t="s">
        <v>461</v>
      </c>
      <c r="L55" t="s">
        <v>462</v>
      </c>
    </row>
    <row r="56" spans="1:12" x14ac:dyDescent="0.25">
      <c r="A56" t="s">
        <v>464</v>
      </c>
      <c r="B56" t="s">
        <v>463</v>
      </c>
      <c r="C56" t="s">
        <v>465</v>
      </c>
      <c r="D56" t="s">
        <v>466</v>
      </c>
      <c r="E56" t="s">
        <v>97</v>
      </c>
      <c r="F56" t="s">
        <v>18</v>
      </c>
      <c r="G56" t="s">
        <v>467</v>
      </c>
      <c r="I56" t="s">
        <v>59</v>
      </c>
      <c r="J56" t="s">
        <v>468</v>
      </c>
      <c r="K56" t="s">
        <v>469</v>
      </c>
      <c r="L56" t="s">
        <v>470</v>
      </c>
    </row>
    <row r="57" spans="1:12" x14ac:dyDescent="0.25">
      <c r="A57" t="s">
        <v>472</v>
      </c>
      <c r="B57" t="s">
        <v>471</v>
      </c>
      <c r="C57" t="s">
        <v>473</v>
      </c>
      <c r="D57" t="s">
        <v>474</v>
      </c>
      <c r="E57" t="s">
        <v>77</v>
      </c>
      <c r="F57" t="s">
        <v>18</v>
      </c>
      <c r="G57" t="s">
        <v>475</v>
      </c>
      <c r="I57" t="s">
        <v>303</v>
      </c>
      <c r="J57" t="s">
        <v>476</v>
      </c>
      <c r="K57" t="s">
        <v>477</v>
      </c>
      <c r="L57" t="s">
        <v>478</v>
      </c>
    </row>
    <row r="58" spans="1:12" x14ac:dyDescent="0.25">
      <c r="A58" t="s">
        <v>480</v>
      </c>
      <c r="B58" t="s">
        <v>479</v>
      </c>
      <c r="C58" t="s">
        <v>481</v>
      </c>
      <c r="D58" t="s">
        <v>482</v>
      </c>
      <c r="E58" t="s">
        <v>483</v>
      </c>
      <c r="F58" t="s">
        <v>112</v>
      </c>
      <c r="G58" t="s">
        <v>484</v>
      </c>
      <c r="I58" t="s">
        <v>28</v>
      </c>
      <c r="J58" t="s">
        <v>485</v>
      </c>
      <c r="K58" t="s">
        <v>485</v>
      </c>
      <c r="L58" t="s">
        <v>486</v>
      </c>
    </row>
    <row r="59" spans="1:12" x14ac:dyDescent="0.25">
      <c r="A59" t="s">
        <v>464</v>
      </c>
      <c r="B59" t="s">
        <v>463</v>
      </c>
      <c r="C59" t="s">
        <v>465</v>
      </c>
      <c r="D59" t="s">
        <v>487</v>
      </c>
      <c r="E59" t="s">
        <v>97</v>
      </c>
      <c r="F59" t="s">
        <v>18</v>
      </c>
      <c r="G59" t="s">
        <v>488</v>
      </c>
      <c r="I59" t="s">
        <v>489</v>
      </c>
      <c r="J59" t="s">
        <v>490</v>
      </c>
      <c r="K59" t="s">
        <v>490</v>
      </c>
      <c r="L59" t="s">
        <v>491</v>
      </c>
    </row>
    <row r="60" spans="1:12" x14ac:dyDescent="0.25">
      <c r="A60" t="s">
        <v>493</v>
      </c>
      <c r="B60" t="s">
        <v>492</v>
      </c>
      <c r="C60" t="s">
        <v>494</v>
      </c>
      <c r="D60" t="s">
        <v>495</v>
      </c>
      <c r="E60" t="s">
        <v>179</v>
      </c>
      <c r="F60" t="s">
        <v>180</v>
      </c>
      <c r="G60" t="s">
        <v>496</v>
      </c>
      <c r="I60" t="s">
        <v>320</v>
      </c>
      <c r="J60" t="s">
        <v>497</v>
      </c>
      <c r="K60" t="s">
        <v>498</v>
      </c>
      <c r="L60" t="s">
        <v>499</v>
      </c>
    </row>
  </sheetData>
  <phoneticPr fontId="1" type="noConversion"/>
  <hyperlinks>
    <hyperlink ref="L32" r:id="rId1" xr:uid="{BE2769AD-4C88-4E76-AD84-7722640BEE4D}"/>
    <hyperlink ref="L33" r:id="rId2" xr:uid="{1D9E8608-1662-4AE9-892C-1A0E61847681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71-E340-4E1D-8FBB-A624DB5EFD29}">
  <sheetPr codeName="Planilha1"/>
  <dimension ref="A1:EJ15"/>
  <sheetViews>
    <sheetView topLeftCell="I1" workbookViewId="0">
      <selection activeCell="AI2" sqref="AI2"/>
    </sheetView>
  </sheetViews>
  <sheetFormatPr defaultRowHeight="15" x14ac:dyDescent="0.25"/>
  <cols>
    <col min="1" max="1" width="28.28515625" customWidth="1"/>
    <col min="2" max="2" width="14.42578125" customWidth="1"/>
    <col min="9" max="9" width="10.42578125" style="19" bestFit="1" customWidth="1"/>
    <col min="53" max="53" width="13.42578125" style="46" customWidth="1"/>
    <col min="63" max="63" width="9.140625" style="46"/>
    <col min="69" max="69" width="9.5703125" bestFit="1" customWidth="1"/>
    <col min="76" max="76" width="12" style="48" customWidth="1"/>
    <col min="78" max="78" width="9.140625" style="112"/>
    <col min="79" max="79" width="9.140625" style="115"/>
    <col min="80" max="80" width="9.140625" style="112"/>
    <col min="81" max="81" width="9.140625" style="115"/>
    <col min="82" max="82" width="9.140625" style="119"/>
    <col min="83" max="83" width="9.140625" style="112"/>
    <col min="84" max="84" width="9.140625" style="115"/>
    <col min="85" max="85" width="9.140625" style="75"/>
    <col min="86" max="86" width="9.140625" style="115"/>
    <col min="87" max="87" width="9.140625" style="117"/>
    <col min="88" max="88" width="9.140625" style="75"/>
    <col min="89" max="89" width="9.140625" style="115"/>
    <col min="90" max="90" width="9.140625" style="75"/>
    <col min="91" max="91" width="9.5703125" style="115" bestFit="1" customWidth="1"/>
    <col min="92" max="92" width="9.140625" style="119"/>
    <col min="93" max="93" width="9.140625" style="117"/>
    <col min="94" max="94" width="9.140625" style="115"/>
    <col min="105" max="105" width="14.85546875" customWidth="1"/>
    <col min="112" max="113" width="10.42578125" style="19" bestFit="1" customWidth="1"/>
    <col min="114" max="115" width="9.140625" style="75"/>
    <col min="123" max="123" width="15.140625" style="46" bestFit="1" customWidth="1"/>
  </cols>
  <sheetData>
    <row r="1" spans="1:140" x14ac:dyDescent="0.25">
      <c r="A1" s="73" t="s">
        <v>640</v>
      </c>
      <c r="B1" s="73" t="s">
        <v>559</v>
      </c>
      <c r="C1" s="73" t="s">
        <v>560</v>
      </c>
      <c r="D1" s="73" t="s">
        <v>561</v>
      </c>
      <c r="E1" s="73" t="s">
        <v>562</v>
      </c>
      <c r="F1" s="73" t="s">
        <v>563</v>
      </c>
      <c r="G1" s="73" t="s">
        <v>674</v>
      </c>
      <c r="H1" s="73" t="s">
        <v>564</v>
      </c>
      <c r="I1" s="80" t="s">
        <v>936</v>
      </c>
      <c r="J1" s="73" t="s">
        <v>565</v>
      </c>
      <c r="K1" s="73" t="s">
        <v>566</v>
      </c>
      <c r="L1" s="73" t="s">
        <v>678</v>
      </c>
      <c r="M1" s="73" t="s">
        <v>680</v>
      </c>
      <c r="N1" s="73" t="s">
        <v>567</v>
      </c>
      <c r="O1" s="73" t="s">
        <v>641</v>
      </c>
      <c r="P1" s="73" t="s">
        <v>568</v>
      </c>
      <c r="Q1" s="73" t="s">
        <v>642</v>
      </c>
      <c r="R1" s="73" t="s">
        <v>569</v>
      </c>
      <c r="S1" s="73" t="s">
        <v>570</v>
      </c>
      <c r="T1" s="73" t="s">
        <v>571</v>
      </c>
      <c r="U1" s="73" t="s">
        <v>572</v>
      </c>
      <c r="V1" s="73" t="s">
        <v>573</v>
      </c>
      <c r="W1" s="73" t="s">
        <v>574</v>
      </c>
      <c r="X1" s="73" t="s">
        <v>676</v>
      </c>
      <c r="Y1" s="73" t="s">
        <v>575</v>
      </c>
      <c r="Z1" s="73" t="s">
        <v>576</v>
      </c>
      <c r="AA1" s="73" t="s">
        <v>577</v>
      </c>
      <c r="AB1" s="73" t="s">
        <v>578</v>
      </c>
      <c r="AC1" s="73" t="s">
        <v>579</v>
      </c>
      <c r="AD1" s="73" t="s">
        <v>580</v>
      </c>
      <c r="AE1" s="73" t="s">
        <v>581</v>
      </c>
      <c r="AF1" s="73" t="s">
        <v>582</v>
      </c>
      <c r="AG1" s="73" t="s">
        <v>583</v>
      </c>
      <c r="AH1" s="73" t="s">
        <v>671</v>
      </c>
      <c r="AI1" s="73" t="s">
        <v>584</v>
      </c>
      <c r="AJ1" s="73" t="s">
        <v>585</v>
      </c>
      <c r="AK1" s="73" t="s">
        <v>586</v>
      </c>
      <c r="AL1" s="73" t="s">
        <v>587</v>
      </c>
      <c r="AM1" s="73" t="s">
        <v>588</v>
      </c>
      <c r="AN1" s="73" t="s">
        <v>589</v>
      </c>
      <c r="AO1" s="73" t="s">
        <v>590</v>
      </c>
      <c r="AP1" s="73" t="s">
        <v>591</v>
      </c>
      <c r="AQ1" s="73" t="s">
        <v>592</v>
      </c>
      <c r="AR1" s="73" t="s">
        <v>593</v>
      </c>
      <c r="AS1" s="73" t="s">
        <v>594</v>
      </c>
      <c r="AT1" s="73" t="s">
        <v>595</v>
      </c>
      <c r="AU1" s="73" t="s">
        <v>596</v>
      </c>
      <c r="AV1" s="73" t="s">
        <v>597</v>
      </c>
      <c r="AW1" s="73" t="s">
        <v>598</v>
      </c>
      <c r="AX1" s="73" t="s">
        <v>599</v>
      </c>
      <c r="AY1" s="73" t="s">
        <v>600</v>
      </c>
      <c r="AZ1" s="73" t="s">
        <v>601</v>
      </c>
      <c r="BA1" s="107" t="s">
        <v>602</v>
      </c>
      <c r="BB1" s="73" t="s">
        <v>603</v>
      </c>
      <c r="BC1" s="73" t="s">
        <v>604</v>
      </c>
      <c r="BD1" s="73" t="s">
        <v>605</v>
      </c>
      <c r="BE1" s="73" t="s">
        <v>606</v>
      </c>
      <c r="BF1" s="73" t="s">
        <v>607</v>
      </c>
      <c r="BG1" s="73" t="s">
        <v>608</v>
      </c>
      <c r="BH1" s="73" t="s">
        <v>609</v>
      </c>
      <c r="BI1" s="73" t="s">
        <v>610</v>
      </c>
      <c r="BJ1" s="73" t="s">
        <v>611</v>
      </c>
      <c r="BK1" s="107" t="s">
        <v>753</v>
      </c>
      <c r="BL1" s="73" t="s">
        <v>612</v>
      </c>
      <c r="BM1" s="73" t="s">
        <v>613</v>
      </c>
      <c r="BN1" s="73" t="s">
        <v>614</v>
      </c>
      <c r="BO1" s="73" t="s">
        <v>615</v>
      </c>
      <c r="BP1" s="73" t="s">
        <v>643</v>
      </c>
      <c r="BQ1" s="73" t="s">
        <v>644</v>
      </c>
      <c r="BR1" s="73" t="s">
        <v>616</v>
      </c>
      <c r="BS1" s="73" t="s">
        <v>645</v>
      </c>
      <c r="BT1" s="73" t="s">
        <v>646</v>
      </c>
      <c r="BU1" s="73" t="s">
        <v>617</v>
      </c>
      <c r="BV1" s="73" t="s">
        <v>647</v>
      </c>
      <c r="BW1" s="73" t="s">
        <v>648</v>
      </c>
      <c r="BX1" s="74" t="s">
        <v>649</v>
      </c>
      <c r="BY1" s="73" t="s">
        <v>618</v>
      </c>
      <c r="BZ1" s="76" t="s">
        <v>619</v>
      </c>
      <c r="CA1" s="73" t="s">
        <v>652</v>
      </c>
      <c r="CB1" s="76" t="s">
        <v>651</v>
      </c>
      <c r="CC1" s="73" t="s">
        <v>653</v>
      </c>
      <c r="CD1" s="79" t="s">
        <v>654</v>
      </c>
      <c r="CE1" s="76" t="s">
        <v>620</v>
      </c>
      <c r="CF1" s="73" t="s">
        <v>650</v>
      </c>
      <c r="CG1" s="76" t="s">
        <v>655</v>
      </c>
      <c r="CH1" s="73" t="s">
        <v>656</v>
      </c>
      <c r="CI1" s="78" t="s">
        <v>657</v>
      </c>
      <c r="CJ1" s="76" t="s">
        <v>621</v>
      </c>
      <c r="CK1" s="73" t="s">
        <v>658</v>
      </c>
      <c r="CL1" s="76" t="s">
        <v>659</v>
      </c>
      <c r="CM1" s="73" t="s">
        <v>660</v>
      </c>
      <c r="CN1" s="79" t="s">
        <v>661</v>
      </c>
      <c r="CO1" s="78" t="s">
        <v>662</v>
      </c>
      <c r="CP1" s="73" t="s">
        <v>622</v>
      </c>
      <c r="CQ1" s="73" t="s">
        <v>663</v>
      </c>
      <c r="CR1" s="73" t="s">
        <v>623</v>
      </c>
      <c r="CS1" s="73" t="s">
        <v>664</v>
      </c>
      <c r="CT1" s="73" t="s">
        <v>624</v>
      </c>
      <c r="CU1" s="73" t="s">
        <v>665</v>
      </c>
      <c r="CV1" s="73" t="s">
        <v>625</v>
      </c>
      <c r="CW1" s="73" t="s">
        <v>666</v>
      </c>
      <c r="CX1" s="73" t="s">
        <v>626</v>
      </c>
      <c r="CY1" s="73" t="s">
        <v>667</v>
      </c>
      <c r="CZ1" s="73" t="s">
        <v>627</v>
      </c>
      <c r="DA1" s="73" t="s">
        <v>668</v>
      </c>
      <c r="DB1" s="73" t="s">
        <v>628</v>
      </c>
      <c r="DC1" s="73" t="s">
        <v>669</v>
      </c>
      <c r="DD1" s="73" t="s">
        <v>629</v>
      </c>
      <c r="DE1" s="73" t="s">
        <v>670</v>
      </c>
      <c r="DF1" s="73" t="s">
        <v>630</v>
      </c>
      <c r="DG1" s="73" t="s">
        <v>688</v>
      </c>
      <c r="DH1" s="80" t="s">
        <v>631</v>
      </c>
      <c r="DI1" s="80" t="s">
        <v>685</v>
      </c>
      <c r="DJ1" s="76" t="s">
        <v>632</v>
      </c>
      <c r="DK1" s="76" t="s">
        <v>686</v>
      </c>
      <c r="DL1" s="73" t="s">
        <v>687</v>
      </c>
      <c r="DM1" s="73" t="s">
        <v>633</v>
      </c>
      <c r="DN1" s="73" t="s">
        <v>634</v>
      </c>
      <c r="DO1" s="73" t="s">
        <v>635</v>
      </c>
      <c r="DP1" s="73" t="s">
        <v>636</v>
      </c>
      <c r="DQ1" s="73" t="s">
        <v>637</v>
      </c>
      <c r="DR1" s="73" t="s">
        <v>830</v>
      </c>
      <c r="DS1" s="107" t="s">
        <v>829</v>
      </c>
      <c r="DT1" s="73" t="s">
        <v>638</v>
      </c>
      <c r="DU1" s="73" t="s">
        <v>639</v>
      </c>
      <c r="DV1" s="73" t="s">
        <v>681</v>
      </c>
      <c r="DW1" s="73" t="s">
        <v>682</v>
      </c>
      <c r="DX1" s="73" t="s">
        <v>683</v>
      </c>
      <c r="DY1" s="73" t="s">
        <v>690</v>
      </c>
      <c r="DZ1" s="73" t="s">
        <v>696</v>
      </c>
      <c r="EA1" s="73" t="s">
        <v>697</v>
      </c>
      <c r="EB1" s="73" t="s">
        <v>698</v>
      </c>
      <c r="EC1" s="73" t="s">
        <v>705</v>
      </c>
      <c r="ED1" s="73" t="s">
        <v>706</v>
      </c>
      <c r="EE1" s="73" t="s">
        <v>707</v>
      </c>
      <c r="EF1" s="73" t="s">
        <v>708</v>
      </c>
      <c r="EG1" s="73" t="s">
        <v>712</v>
      </c>
      <c r="EH1" s="73" t="s">
        <v>713</v>
      </c>
      <c r="EI1" s="73" t="s">
        <v>714</v>
      </c>
      <c r="EJ1" t="s">
        <v>754</v>
      </c>
    </row>
    <row r="2" spans="1:140" x14ac:dyDescent="0.25">
      <c r="A2" s="73" t="s">
        <v>1037</v>
      </c>
      <c r="B2" s="73" t="s">
        <v>17</v>
      </c>
      <c r="C2" s="73" t="s">
        <v>12</v>
      </c>
      <c r="D2" s="73" t="s">
        <v>771</v>
      </c>
      <c r="E2" s="73" t="s">
        <v>18</v>
      </c>
      <c r="F2" s="73" t="s">
        <v>772</v>
      </c>
      <c r="G2" s="73" t="s">
        <v>770</v>
      </c>
      <c r="H2" s="73" t="s">
        <v>979</v>
      </c>
      <c r="I2" s="80">
        <v>45901</v>
      </c>
      <c r="J2" s="73" t="s">
        <v>1038</v>
      </c>
      <c r="K2" s="73" t="s">
        <v>975</v>
      </c>
      <c r="L2" s="73" t="s">
        <v>739</v>
      </c>
      <c r="M2" s="73" t="s">
        <v>739</v>
      </c>
      <c r="N2" s="73">
        <v>24.6</v>
      </c>
      <c r="O2" s="73">
        <v>23.8</v>
      </c>
      <c r="P2" s="73">
        <v>61.3</v>
      </c>
      <c r="Q2" s="73">
        <v>50.9</v>
      </c>
      <c r="R2" s="73" t="s">
        <v>526</v>
      </c>
      <c r="S2" s="73" t="s">
        <v>1034</v>
      </c>
      <c r="T2" s="73" t="s">
        <v>981</v>
      </c>
      <c r="U2" s="73" t="s">
        <v>781</v>
      </c>
      <c r="V2" s="73" t="s">
        <v>200</v>
      </c>
      <c r="W2" s="73" t="s">
        <v>983</v>
      </c>
      <c r="X2" s="73" t="s">
        <v>982</v>
      </c>
      <c r="Y2" s="73" t="s">
        <v>981</v>
      </c>
      <c r="Z2" s="73" t="s">
        <v>984</v>
      </c>
      <c r="AA2" s="73" t="s">
        <v>739</v>
      </c>
      <c r="AB2" s="73" t="s">
        <v>739</v>
      </c>
      <c r="AC2" s="73" t="s">
        <v>781</v>
      </c>
      <c r="AD2" s="73" t="s">
        <v>917</v>
      </c>
      <c r="AE2" s="73" t="s">
        <v>836</v>
      </c>
      <c r="AF2" s="73" t="s">
        <v>739</v>
      </c>
      <c r="AG2" s="73" t="s">
        <v>1011</v>
      </c>
      <c r="AH2" s="73" t="s">
        <v>1012</v>
      </c>
      <c r="AI2" s="73" t="s">
        <v>1035</v>
      </c>
      <c r="AJ2" s="73" t="s">
        <v>1014</v>
      </c>
      <c r="AK2" s="73" t="s">
        <v>1039</v>
      </c>
      <c r="AL2" s="73" t="s">
        <v>989</v>
      </c>
      <c r="AM2" s="73" t="s">
        <v>1030</v>
      </c>
      <c r="AN2" s="73" t="s">
        <v>1031</v>
      </c>
      <c r="AO2" s="73" t="s">
        <v>1018</v>
      </c>
      <c r="AP2" s="73" t="s">
        <v>1019</v>
      </c>
      <c r="AQ2" s="73">
        <v>60</v>
      </c>
      <c r="AR2" s="73">
        <v>48</v>
      </c>
      <c r="AS2" s="73" t="s">
        <v>1011</v>
      </c>
      <c r="AT2" s="73" t="s">
        <v>1020</v>
      </c>
      <c r="AU2" s="73" t="s">
        <v>989</v>
      </c>
      <c r="AV2" s="73" t="s">
        <v>514</v>
      </c>
      <c r="AW2" s="73" t="s">
        <v>995</v>
      </c>
      <c r="AX2" s="73" t="s">
        <v>515</v>
      </c>
      <c r="AY2" s="73" t="s">
        <v>1021</v>
      </c>
      <c r="AZ2" s="73" t="s">
        <v>1021</v>
      </c>
      <c r="BA2" s="107" t="s">
        <v>1021</v>
      </c>
      <c r="BB2" s="73" t="s">
        <v>518</v>
      </c>
      <c r="BC2" s="73" t="s">
        <v>519</v>
      </c>
      <c r="BD2" s="73" t="s">
        <v>520</v>
      </c>
      <c r="BE2" s="73" t="s">
        <v>526</v>
      </c>
      <c r="BF2" s="73" t="s">
        <v>526</v>
      </c>
      <c r="BG2" s="73" t="s">
        <v>35</v>
      </c>
      <c r="BH2" s="73">
        <v>19.7</v>
      </c>
      <c r="BI2" s="73" t="s">
        <v>997</v>
      </c>
      <c r="BJ2" s="73">
        <v>0</v>
      </c>
      <c r="BK2" s="107" t="s">
        <v>1040</v>
      </c>
      <c r="BL2" s="73">
        <v>0</v>
      </c>
      <c r="BM2" s="73">
        <v>1000</v>
      </c>
      <c r="BN2" s="73">
        <v>24</v>
      </c>
      <c r="BO2" s="73">
        <v>8.4000000000000005E-2</v>
      </c>
      <c r="BP2" s="73">
        <v>8.4000000000000005E-2</v>
      </c>
      <c r="BQ2" s="73">
        <v>0</v>
      </c>
      <c r="BR2" s="73">
        <v>8.3000000000000004E-2</v>
      </c>
      <c r="BS2" s="73">
        <v>8.5000000000000006E-2</v>
      </c>
      <c r="BT2" s="73">
        <v>2.4096385542168693E-2</v>
      </c>
      <c r="BU2" s="73">
        <v>8.3000000000000004E-2</v>
      </c>
      <c r="BV2" s="73">
        <v>8.4000000000000005E-2</v>
      </c>
      <c r="BW2" s="73">
        <v>1.2048192771084347E-2</v>
      </c>
      <c r="BX2" s="74">
        <v>1.2048192771084347E-2</v>
      </c>
      <c r="BY2" s="73">
        <v>100</v>
      </c>
      <c r="BZ2" s="76">
        <v>3.2407407407407406E-4</v>
      </c>
      <c r="CA2" s="73">
        <v>214.28571428571428</v>
      </c>
      <c r="CB2" s="76">
        <v>4.861111111111111E-4</v>
      </c>
      <c r="CC2" s="73">
        <v>142.85714285714286</v>
      </c>
      <c r="CD2" s="79">
        <v>0.33333333333333331</v>
      </c>
      <c r="CE2" s="76">
        <v>3.2407407407407406E-4</v>
      </c>
      <c r="CF2" s="73">
        <v>214.28571428571428</v>
      </c>
      <c r="CG2" s="76">
        <v>4.5138888888888887E-4</v>
      </c>
      <c r="CH2" s="73">
        <v>153.84615384615384</v>
      </c>
      <c r="CI2" s="78">
        <v>0.28205128205128205</v>
      </c>
      <c r="CJ2" s="76">
        <v>3.1250000000000001E-4</v>
      </c>
      <c r="CK2" s="73">
        <v>222.22222222222223</v>
      </c>
      <c r="CL2" s="76">
        <v>5.2083333333333333E-4</v>
      </c>
      <c r="CM2" s="73">
        <v>133.33333333333334</v>
      </c>
      <c r="CN2" s="79">
        <v>0.39999999999999997</v>
      </c>
      <c r="CO2" s="78">
        <v>0.33846153846153842</v>
      </c>
      <c r="CP2" s="73">
        <v>64.099999999999994</v>
      </c>
      <c r="CQ2" s="73" t="s">
        <v>1041</v>
      </c>
      <c r="CR2" s="73">
        <v>64.099999999999994</v>
      </c>
      <c r="CS2" s="73" t="s">
        <v>1042</v>
      </c>
      <c r="CT2" s="73">
        <v>63.7</v>
      </c>
      <c r="CU2" s="73" t="s">
        <v>1043</v>
      </c>
      <c r="CV2" s="73">
        <v>59.1</v>
      </c>
      <c r="CW2" s="73" t="s">
        <v>1044</v>
      </c>
      <c r="CX2" s="73">
        <v>59.1</v>
      </c>
      <c r="CY2" s="73" t="s">
        <v>1045</v>
      </c>
      <c r="CZ2" s="73">
        <v>59</v>
      </c>
      <c r="DA2" s="73" t="s">
        <v>1046</v>
      </c>
      <c r="DB2" s="73">
        <v>60.3</v>
      </c>
      <c r="DC2" s="73" t="s">
        <v>1047</v>
      </c>
      <c r="DD2" s="73">
        <v>67.7</v>
      </c>
      <c r="DE2" s="73" t="s">
        <v>1048</v>
      </c>
      <c r="DF2" s="73">
        <v>64.8</v>
      </c>
      <c r="DG2" s="73" t="s">
        <v>1049</v>
      </c>
      <c r="DH2" s="80">
        <v>45894</v>
      </c>
      <c r="DI2" s="80">
        <v>45895</v>
      </c>
      <c r="DJ2" s="76">
        <v>0.46875</v>
      </c>
      <c r="DK2" s="76">
        <v>0.56944444444444442</v>
      </c>
      <c r="DL2" s="73" t="s">
        <v>1050</v>
      </c>
      <c r="DM2" s="73">
        <v>60</v>
      </c>
      <c r="DN2" s="73">
        <v>55.403999999999996</v>
      </c>
      <c r="DO2" s="73">
        <v>55.6</v>
      </c>
      <c r="DP2" s="73" t="s">
        <v>1039</v>
      </c>
      <c r="DQ2" s="73" t="s">
        <v>975</v>
      </c>
      <c r="DR2" s="73" t="s">
        <v>975</v>
      </c>
      <c r="DS2" s="107" t="s">
        <v>975</v>
      </c>
      <c r="DT2" s="73">
        <v>0.92200000000000004</v>
      </c>
      <c r="DU2" s="73">
        <v>0.92200000000000004</v>
      </c>
      <c r="DV2" s="73">
        <v>0.92620000000000002</v>
      </c>
      <c r="DW2" s="73">
        <v>0.9234</v>
      </c>
      <c r="DX2" s="73">
        <v>55.403999999999996</v>
      </c>
      <c r="DY2" s="73" t="s">
        <v>716</v>
      </c>
      <c r="DZ2" s="73" t="s">
        <v>858</v>
      </c>
      <c r="EA2" s="73" t="s">
        <v>716</v>
      </c>
      <c r="EB2" s="73" t="s">
        <v>716</v>
      </c>
      <c r="EC2" s="73" t="s">
        <v>716</v>
      </c>
      <c r="ED2" s="73" t="s">
        <v>716</v>
      </c>
      <c r="EE2" s="73" t="s">
        <v>716</v>
      </c>
      <c r="EF2" s="73" t="s">
        <v>716</v>
      </c>
      <c r="EG2" s="73">
        <v>15</v>
      </c>
      <c r="EH2" s="73">
        <v>30</v>
      </c>
      <c r="EI2" s="73" t="s">
        <v>715</v>
      </c>
      <c r="EJ2" t="s">
        <v>1040</v>
      </c>
    </row>
    <row r="3" spans="1:140" x14ac:dyDescent="0.25">
      <c r="A3" s="73" t="s">
        <v>1010</v>
      </c>
      <c r="B3" s="73" t="s">
        <v>17</v>
      </c>
      <c r="C3" s="73" t="s">
        <v>12</v>
      </c>
      <c r="D3" s="73" t="s">
        <v>771</v>
      </c>
      <c r="E3" s="73" t="s">
        <v>18</v>
      </c>
      <c r="F3" s="73" t="s">
        <v>772</v>
      </c>
      <c r="G3" s="73" t="s">
        <v>770</v>
      </c>
      <c r="H3" s="73" t="s">
        <v>979</v>
      </c>
      <c r="I3" s="80">
        <v>45875</v>
      </c>
      <c r="J3" s="73" t="s">
        <v>28</v>
      </c>
      <c r="K3" s="73" t="s">
        <v>980</v>
      </c>
      <c r="L3" s="73" t="s">
        <v>739</v>
      </c>
      <c r="M3" s="73" t="s">
        <v>739</v>
      </c>
      <c r="N3" s="73">
        <v>16</v>
      </c>
      <c r="O3" s="73">
        <v>16.3</v>
      </c>
      <c r="P3" s="73">
        <v>80</v>
      </c>
      <c r="Q3" s="73">
        <v>80.599999999999994</v>
      </c>
      <c r="R3" s="73" t="s">
        <v>526</v>
      </c>
      <c r="S3" s="73" t="s">
        <v>1034</v>
      </c>
      <c r="T3" s="73" t="s">
        <v>981</v>
      </c>
      <c r="U3" s="73" t="s">
        <v>781</v>
      </c>
      <c r="V3" s="73" t="s">
        <v>200</v>
      </c>
      <c r="W3" s="73" t="s">
        <v>983</v>
      </c>
      <c r="X3" s="73" t="s">
        <v>982</v>
      </c>
      <c r="Y3" s="73" t="s">
        <v>981</v>
      </c>
      <c r="Z3" s="73" t="s">
        <v>984</v>
      </c>
      <c r="AA3" s="73" t="s">
        <v>739</v>
      </c>
      <c r="AB3" s="73" t="s">
        <v>739</v>
      </c>
      <c r="AC3" s="73" t="s">
        <v>781</v>
      </c>
      <c r="AD3" s="73" t="s">
        <v>917</v>
      </c>
      <c r="AE3" s="73" t="s">
        <v>836</v>
      </c>
      <c r="AF3" s="73" t="s">
        <v>739</v>
      </c>
      <c r="AG3" s="73" t="s">
        <v>1033</v>
      </c>
      <c r="AH3" s="73" t="s">
        <v>1012</v>
      </c>
      <c r="AI3" s="73" t="s">
        <v>1035</v>
      </c>
      <c r="AJ3" s="73" t="s">
        <v>1014</v>
      </c>
      <c r="AK3" s="73" t="s">
        <v>1015</v>
      </c>
      <c r="AL3" s="73" t="s">
        <v>989</v>
      </c>
      <c r="AM3" s="73" t="s">
        <v>1030</v>
      </c>
      <c r="AN3" s="73" t="s">
        <v>1031</v>
      </c>
      <c r="AO3" s="73" t="s">
        <v>1018</v>
      </c>
      <c r="AP3" s="73" t="s">
        <v>1019</v>
      </c>
      <c r="AQ3" s="73">
        <v>52</v>
      </c>
      <c r="AR3" s="73">
        <v>41.6</v>
      </c>
      <c r="AS3" s="73" t="s">
        <v>1011</v>
      </c>
      <c r="AT3" s="73" t="s">
        <v>1020</v>
      </c>
      <c r="AU3" s="73" t="s">
        <v>989</v>
      </c>
      <c r="AV3" s="73" t="s">
        <v>514</v>
      </c>
      <c r="AW3" s="73" t="s">
        <v>995</v>
      </c>
      <c r="AX3" s="73" t="s">
        <v>515</v>
      </c>
      <c r="AY3" s="73" t="s">
        <v>1021</v>
      </c>
      <c r="AZ3" s="73" t="s">
        <v>1021</v>
      </c>
      <c r="BA3" s="107" t="s">
        <v>1021</v>
      </c>
      <c r="BB3" s="73" t="s">
        <v>518</v>
      </c>
      <c r="BC3" s="73" t="s">
        <v>519</v>
      </c>
      <c r="BD3" s="73" t="s">
        <v>520</v>
      </c>
      <c r="BE3" s="73" t="s">
        <v>526</v>
      </c>
      <c r="BF3" s="73" t="s">
        <v>526</v>
      </c>
      <c r="BG3" s="73" t="s">
        <v>35</v>
      </c>
      <c r="BH3" s="73">
        <v>17.600000000000001</v>
      </c>
      <c r="BI3" s="73" t="s">
        <v>997</v>
      </c>
      <c r="BJ3" s="73">
        <v>0</v>
      </c>
      <c r="BK3" s="107" t="s">
        <v>998</v>
      </c>
      <c r="BL3" s="73">
        <v>0</v>
      </c>
      <c r="BM3" s="73">
        <v>1000</v>
      </c>
      <c r="BN3" s="73">
        <v>24</v>
      </c>
      <c r="BO3" s="73">
        <v>4.2000000000000003E-2</v>
      </c>
      <c r="BP3" s="73">
        <v>5.0999999999999997E-2</v>
      </c>
      <c r="BQ3" s="73">
        <v>0.21428571428571414</v>
      </c>
      <c r="BR3" s="73">
        <v>4.2999999999999997E-2</v>
      </c>
      <c r="BS3" s="73">
        <v>5.1999999999999998E-2</v>
      </c>
      <c r="BT3" s="73">
        <v>0.20930232558139539</v>
      </c>
      <c r="BU3" s="73">
        <v>3.5999999999999997E-2</v>
      </c>
      <c r="BV3" s="73">
        <v>5.1999999999999998E-2</v>
      </c>
      <c r="BW3" s="73">
        <v>0.44444444444444448</v>
      </c>
      <c r="BX3" s="74">
        <v>0.28934416143718467</v>
      </c>
      <c r="BY3" s="73">
        <v>100</v>
      </c>
      <c r="BZ3" s="76">
        <v>3.5879629629629629E-4</v>
      </c>
      <c r="CA3" s="73">
        <v>193.54838709677421</v>
      </c>
      <c r="CB3" s="76">
        <v>4.861111111111111E-4</v>
      </c>
      <c r="CC3" s="73">
        <v>142.85714285714286</v>
      </c>
      <c r="CD3" s="79">
        <v>0.26190476190476192</v>
      </c>
      <c r="CE3" s="76">
        <v>3.4722222222222224E-4</v>
      </c>
      <c r="CF3" s="73">
        <v>200</v>
      </c>
      <c r="CG3" s="76">
        <v>6.018518518518519E-4</v>
      </c>
      <c r="CH3" s="73">
        <v>115.38461538461539</v>
      </c>
      <c r="CI3" s="78">
        <v>0.42307692307692307</v>
      </c>
      <c r="CJ3" s="76">
        <v>3.5879629629629629E-4</v>
      </c>
      <c r="CK3" s="73">
        <v>193.54838709677421</v>
      </c>
      <c r="CL3" s="76">
        <v>6.018518518518519E-4</v>
      </c>
      <c r="CM3" s="73">
        <v>115.38461538461539</v>
      </c>
      <c r="CN3" s="79">
        <v>0.40384615384615385</v>
      </c>
      <c r="CO3" s="78">
        <v>0.36294261294261299</v>
      </c>
      <c r="CP3" s="73">
        <v>65</v>
      </c>
      <c r="CQ3" s="73" t="s">
        <v>1022</v>
      </c>
      <c r="CR3" s="73">
        <v>64.5</v>
      </c>
      <c r="CS3" s="73" t="s">
        <v>1023</v>
      </c>
      <c r="CT3" s="73">
        <v>65.400000000000006</v>
      </c>
      <c r="CU3" s="73" t="s">
        <v>1024</v>
      </c>
      <c r="CV3" s="73">
        <v>58.7</v>
      </c>
      <c r="CW3" s="73" t="s">
        <v>1028</v>
      </c>
      <c r="CX3" s="73">
        <v>62.1</v>
      </c>
      <c r="CY3" s="73" t="s">
        <v>1029</v>
      </c>
      <c r="CZ3" s="73">
        <v>61.6</v>
      </c>
      <c r="DA3" s="107" t="s">
        <v>1036</v>
      </c>
      <c r="DB3" s="73">
        <v>62.2</v>
      </c>
      <c r="DC3" s="73" t="s">
        <v>1025</v>
      </c>
      <c r="DD3" s="73">
        <v>63.1</v>
      </c>
      <c r="DE3" s="73" t="s">
        <v>1026</v>
      </c>
      <c r="DF3" s="73">
        <v>63.5</v>
      </c>
      <c r="DG3" s="73" t="s">
        <v>1027</v>
      </c>
      <c r="DH3" s="80">
        <v>45869</v>
      </c>
      <c r="DI3" s="80">
        <v>45870</v>
      </c>
      <c r="DJ3" s="76">
        <v>0.70833333333333337</v>
      </c>
      <c r="DK3" s="76">
        <v>0.79166666666666663</v>
      </c>
      <c r="DL3" s="73" t="s">
        <v>1032</v>
      </c>
      <c r="DM3" s="73">
        <v>60</v>
      </c>
      <c r="DN3" s="73">
        <v>48.668533333333329</v>
      </c>
      <c r="DO3" s="73" t="s">
        <v>975</v>
      </c>
      <c r="DP3" s="73" t="s">
        <v>1015</v>
      </c>
      <c r="DQ3" s="73" t="s">
        <v>975</v>
      </c>
      <c r="DR3" s="73" t="s">
        <v>975</v>
      </c>
      <c r="DS3" s="107" t="s">
        <v>975</v>
      </c>
      <c r="DT3" s="73">
        <v>0.90310000000000001</v>
      </c>
      <c r="DU3" s="73">
        <v>0.96279999999999999</v>
      </c>
      <c r="DV3" s="73">
        <v>0.94189999999999996</v>
      </c>
      <c r="DW3" s="73">
        <v>0.93593333333333328</v>
      </c>
      <c r="DX3" s="73">
        <v>48.668533333333329</v>
      </c>
      <c r="DY3" s="73" t="s">
        <v>858</v>
      </c>
      <c r="DZ3" s="73" t="s">
        <v>858</v>
      </c>
      <c r="EA3" s="73" t="s">
        <v>716</v>
      </c>
      <c r="EB3" s="73" t="s">
        <v>716</v>
      </c>
      <c r="EC3" s="73" t="s">
        <v>858</v>
      </c>
      <c r="ED3" s="73" t="s">
        <v>716</v>
      </c>
      <c r="EE3" s="73" t="s">
        <v>716</v>
      </c>
      <c r="EF3" s="73" t="s">
        <v>716</v>
      </c>
      <c r="EG3" s="73">
        <v>15</v>
      </c>
      <c r="EH3" s="73">
        <v>30</v>
      </c>
      <c r="EI3" s="73" t="s">
        <v>715</v>
      </c>
      <c r="EJ3" t="s">
        <v>998</v>
      </c>
    </row>
    <row r="4" spans="1:140" x14ac:dyDescent="0.25">
      <c r="A4" s="73" t="s">
        <v>978</v>
      </c>
      <c r="B4" s="73" t="s">
        <v>17</v>
      </c>
      <c r="C4" s="73" t="s">
        <v>12</v>
      </c>
      <c r="D4" s="73" t="s">
        <v>771</v>
      </c>
      <c r="E4" s="73" t="s">
        <v>18</v>
      </c>
      <c r="F4" s="73" t="s">
        <v>772</v>
      </c>
      <c r="G4" s="73" t="s">
        <v>770</v>
      </c>
      <c r="H4" s="73" t="s">
        <v>979</v>
      </c>
      <c r="I4" s="80">
        <v>45875</v>
      </c>
      <c r="J4" s="73" t="s">
        <v>28</v>
      </c>
      <c r="K4" s="73" t="s">
        <v>980</v>
      </c>
      <c r="L4" s="73" t="s">
        <v>739</v>
      </c>
      <c r="M4" s="73" t="s">
        <v>739</v>
      </c>
      <c r="N4" s="73">
        <v>16.5</v>
      </c>
      <c r="O4" s="73">
        <v>16.100000000000001</v>
      </c>
      <c r="P4" s="73">
        <v>79.8</v>
      </c>
      <c r="Q4" s="73">
        <v>81.599999999999994</v>
      </c>
      <c r="R4" s="73" t="s">
        <v>526</v>
      </c>
      <c r="S4" s="73" t="s">
        <v>1034</v>
      </c>
      <c r="T4" s="73" t="s">
        <v>981</v>
      </c>
      <c r="U4" s="73" t="s">
        <v>781</v>
      </c>
      <c r="V4" s="73" t="s">
        <v>200</v>
      </c>
      <c r="W4" s="73" t="s">
        <v>983</v>
      </c>
      <c r="X4" s="73" t="s">
        <v>982</v>
      </c>
      <c r="Y4" s="73" t="s">
        <v>981</v>
      </c>
      <c r="Z4" s="73" t="s">
        <v>984</v>
      </c>
      <c r="AA4" s="73" t="s">
        <v>739</v>
      </c>
      <c r="AB4" s="73" t="s">
        <v>739</v>
      </c>
      <c r="AC4" s="73" t="s">
        <v>781</v>
      </c>
      <c r="AD4" s="73" t="s">
        <v>917</v>
      </c>
      <c r="AE4" s="73" t="s">
        <v>836</v>
      </c>
      <c r="AF4" s="73" t="s">
        <v>739</v>
      </c>
      <c r="AG4" s="73" t="s">
        <v>985</v>
      </c>
      <c r="AH4" s="73" t="s">
        <v>673</v>
      </c>
      <c r="AI4" s="73" t="s">
        <v>986</v>
      </c>
      <c r="AJ4" s="73" t="s">
        <v>987</v>
      </c>
      <c r="AK4" s="73" t="s">
        <v>988</v>
      </c>
      <c r="AL4" s="73" t="s">
        <v>989</v>
      </c>
      <c r="AM4" s="73" t="s">
        <v>990</v>
      </c>
      <c r="AN4" s="73" t="s">
        <v>1008</v>
      </c>
      <c r="AO4" s="73" t="s">
        <v>991</v>
      </c>
      <c r="AP4" s="73" t="s">
        <v>992</v>
      </c>
      <c r="AQ4" s="73">
        <v>58</v>
      </c>
      <c r="AR4" s="73">
        <v>46.4</v>
      </c>
      <c r="AS4" s="73" t="s">
        <v>994</v>
      </c>
      <c r="AT4" s="73" t="s">
        <v>993</v>
      </c>
      <c r="AU4" s="73" t="s">
        <v>989</v>
      </c>
      <c r="AV4" s="73" t="s">
        <v>514</v>
      </c>
      <c r="AW4" s="73" t="s">
        <v>995</v>
      </c>
      <c r="AX4" s="73" t="s">
        <v>515</v>
      </c>
      <c r="AY4" s="73" t="s">
        <v>996</v>
      </c>
      <c r="AZ4" s="73" t="s">
        <v>996</v>
      </c>
      <c r="BA4" s="107" t="s">
        <v>996</v>
      </c>
      <c r="BB4" s="73" t="s">
        <v>518</v>
      </c>
      <c r="BC4" s="73" t="s">
        <v>519</v>
      </c>
      <c r="BD4" s="73" t="s">
        <v>520</v>
      </c>
      <c r="BE4" s="73" t="s">
        <v>526</v>
      </c>
      <c r="BF4" s="73" t="s">
        <v>526</v>
      </c>
      <c r="BG4" s="73" t="s">
        <v>35</v>
      </c>
      <c r="BH4" s="73">
        <v>18.3</v>
      </c>
      <c r="BI4" s="73" t="s">
        <v>997</v>
      </c>
      <c r="BJ4" s="73">
        <v>0</v>
      </c>
      <c r="BK4" s="107" t="s">
        <v>998</v>
      </c>
      <c r="BL4" s="73">
        <v>0</v>
      </c>
      <c r="BM4" s="73">
        <v>1000</v>
      </c>
      <c r="BN4" s="73">
        <v>24</v>
      </c>
      <c r="BO4" s="73">
        <v>8.4000000000000005E-2</v>
      </c>
      <c r="BP4" s="73">
        <v>8.6999999999999994E-2</v>
      </c>
      <c r="BQ4" s="73">
        <v>3.571428571428558E-2</v>
      </c>
      <c r="BR4" s="73">
        <v>8.4000000000000005E-2</v>
      </c>
      <c r="BS4" s="73">
        <v>8.5999999999999993E-2</v>
      </c>
      <c r="BT4" s="73">
        <v>2.3809523809523662E-2</v>
      </c>
      <c r="BU4" s="73">
        <v>8.5999999999999993E-2</v>
      </c>
      <c r="BV4" s="73">
        <v>8.6999999999999994E-2</v>
      </c>
      <c r="BW4" s="73">
        <v>1.1627906976744198E-2</v>
      </c>
      <c r="BX4" s="74">
        <v>2.3717238833517812E-2</v>
      </c>
      <c r="BY4" s="73">
        <v>100</v>
      </c>
      <c r="BZ4" s="76">
        <v>2.6620370370370372E-4</v>
      </c>
      <c r="CA4" s="73">
        <v>260.86956521739131</v>
      </c>
      <c r="CB4" s="76">
        <v>4.2824074074074075E-4</v>
      </c>
      <c r="CC4" s="73">
        <v>162.16216216216216</v>
      </c>
      <c r="CD4" s="79">
        <v>0.3783783783783784</v>
      </c>
      <c r="CE4" s="76">
        <v>2.4305555555555555E-4</v>
      </c>
      <c r="CF4" s="73">
        <v>285.71428571428572</v>
      </c>
      <c r="CG4" s="76">
        <v>3.2407407407407406E-4</v>
      </c>
      <c r="CH4" s="73">
        <v>214.28571428571428</v>
      </c>
      <c r="CI4" s="78">
        <v>0.25000000000000006</v>
      </c>
      <c r="CJ4" s="76">
        <v>2.5462962962962961E-4</v>
      </c>
      <c r="CK4" s="73">
        <v>272.72727272727275</v>
      </c>
      <c r="CL4" s="76">
        <v>3.5879629629629629E-4</v>
      </c>
      <c r="CM4" s="73">
        <v>193.54838709677421</v>
      </c>
      <c r="CN4" s="79">
        <v>0.29032258064516131</v>
      </c>
      <c r="CO4" s="78">
        <v>0.30623365300784661</v>
      </c>
      <c r="CP4" s="73">
        <v>77.8</v>
      </c>
      <c r="CQ4" s="73" t="s">
        <v>999</v>
      </c>
      <c r="CR4" s="73">
        <v>86.4</v>
      </c>
      <c r="CS4" s="73" t="s">
        <v>1000</v>
      </c>
      <c r="CT4" s="73">
        <v>90.4</v>
      </c>
      <c r="CU4" s="73" t="s">
        <v>1001</v>
      </c>
      <c r="CV4" s="73">
        <v>81.099999999999994</v>
      </c>
      <c r="CW4" s="73" t="s">
        <v>1002</v>
      </c>
      <c r="CX4" s="73">
        <v>72.3</v>
      </c>
      <c r="CY4" s="73" t="s">
        <v>1003</v>
      </c>
      <c r="CZ4" s="73">
        <v>80.8</v>
      </c>
      <c r="DA4" s="73" t="s">
        <v>1004</v>
      </c>
      <c r="DB4" s="73">
        <v>72.5</v>
      </c>
      <c r="DC4" s="73" t="s">
        <v>1005</v>
      </c>
      <c r="DD4" s="73">
        <v>78.099999999999994</v>
      </c>
      <c r="DE4" s="73" t="s">
        <v>1006</v>
      </c>
      <c r="DF4" s="73">
        <v>84.1</v>
      </c>
      <c r="DG4" s="73" t="s">
        <v>1007</v>
      </c>
      <c r="DH4" s="80">
        <v>45869</v>
      </c>
      <c r="DI4" s="80">
        <v>45870</v>
      </c>
      <c r="DJ4" s="76">
        <v>0.66666666666666663</v>
      </c>
      <c r="DK4" s="76">
        <v>0.66666666666666663</v>
      </c>
      <c r="DL4" s="73" t="s">
        <v>1009</v>
      </c>
      <c r="DM4" s="73">
        <v>60</v>
      </c>
      <c r="DN4" s="73">
        <v>53.611333333333334</v>
      </c>
      <c r="DO4" s="73" t="s">
        <v>975</v>
      </c>
      <c r="DP4" s="73" t="s">
        <v>988</v>
      </c>
      <c r="DQ4" s="73" t="s">
        <v>975</v>
      </c>
      <c r="DR4" s="73" t="s">
        <v>975</v>
      </c>
      <c r="DS4" s="107" t="s">
        <v>975</v>
      </c>
      <c r="DT4" s="73">
        <v>1.0424</v>
      </c>
      <c r="DU4" s="73">
        <v>0.83679999999999999</v>
      </c>
      <c r="DV4" s="73">
        <v>0.89380000000000004</v>
      </c>
      <c r="DW4" s="73">
        <v>0.92433333333333334</v>
      </c>
      <c r="DX4" s="73">
        <v>53.611333333333334</v>
      </c>
      <c r="DY4" s="73" t="s">
        <v>716</v>
      </c>
      <c r="DZ4" s="73" t="s">
        <v>858</v>
      </c>
      <c r="EA4" s="73" t="s">
        <v>716</v>
      </c>
      <c r="EB4" s="73" t="s">
        <v>716</v>
      </c>
      <c r="EC4" s="73" t="s">
        <v>858</v>
      </c>
      <c r="ED4" s="73" t="s">
        <v>716</v>
      </c>
      <c r="EE4" s="73" t="s">
        <v>716</v>
      </c>
      <c r="EF4" s="73" t="s">
        <v>716</v>
      </c>
      <c r="EG4" s="73">
        <v>15</v>
      </c>
      <c r="EH4" s="73">
        <v>30</v>
      </c>
      <c r="EI4" s="73" t="s">
        <v>715</v>
      </c>
      <c r="EJ4" t="s">
        <v>998</v>
      </c>
    </row>
    <row r="5" spans="1:140" x14ac:dyDescent="0.25">
      <c r="A5" s="73" t="s">
        <v>955</v>
      </c>
      <c r="B5" s="73" t="s">
        <v>17</v>
      </c>
      <c r="C5" s="73" t="s">
        <v>12</v>
      </c>
      <c r="D5" s="73" t="s">
        <v>771</v>
      </c>
      <c r="E5" s="73" t="s">
        <v>18</v>
      </c>
      <c r="F5" s="73" t="s">
        <v>772</v>
      </c>
      <c r="G5" s="73" t="s">
        <v>770</v>
      </c>
      <c r="H5" s="73" t="s">
        <v>861</v>
      </c>
      <c r="I5" s="80">
        <v>45867</v>
      </c>
      <c r="J5" s="73" t="s">
        <v>28</v>
      </c>
      <c r="K5" s="73" t="s">
        <v>934</v>
      </c>
      <c r="L5" s="73" t="s">
        <v>739</v>
      </c>
      <c r="M5" s="73" t="s">
        <v>739</v>
      </c>
      <c r="N5" s="73">
        <v>18.3</v>
      </c>
      <c r="O5" s="73">
        <v>18.5</v>
      </c>
      <c r="P5" s="73">
        <v>81.5</v>
      </c>
      <c r="Q5" s="73">
        <v>81.599999999999994</v>
      </c>
      <c r="R5" s="73" t="s">
        <v>526</v>
      </c>
      <c r="S5" s="73" t="s">
        <v>718</v>
      </c>
      <c r="T5" s="73" t="s">
        <v>879</v>
      </c>
      <c r="U5" s="73" t="s">
        <v>781</v>
      </c>
      <c r="V5" s="73" t="s">
        <v>200</v>
      </c>
      <c r="W5" s="73" t="s">
        <v>782</v>
      </c>
      <c r="X5" s="73" t="s">
        <v>783</v>
      </c>
      <c r="Y5" s="73" t="s">
        <v>879</v>
      </c>
      <c r="Z5" s="73" t="s">
        <v>956</v>
      </c>
      <c r="AA5" s="73" t="s">
        <v>739</v>
      </c>
      <c r="AB5" s="73" t="s">
        <v>739</v>
      </c>
      <c r="AC5" s="73" t="s">
        <v>781</v>
      </c>
      <c r="AD5" s="73" t="s">
        <v>785</v>
      </c>
      <c r="AE5" s="73" t="s">
        <v>836</v>
      </c>
      <c r="AF5" s="73" t="s">
        <v>739</v>
      </c>
      <c r="AG5" s="73" t="s">
        <v>957</v>
      </c>
      <c r="AH5" s="73" t="s">
        <v>673</v>
      </c>
      <c r="AI5" s="73" t="s">
        <v>958</v>
      </c>
      <c r="AJ5" s="73" t="s">
        <v>959</v>
      </c>
      <c r="AK5" s="73" t="s">
        <v>960</v>
      </c>
      <c r="AL5" s="73" t="s">
        <v>33</v>
      </c>
      <c r="AM5" s="73" t="s">
        <v>962</v>
      </c>
      <c r="AN5" s="73" t="s">
        <v>32</v>
      </c>
      <c r="AO5" s="73" t="s">
        <v>961</v>
      </c>
      <c r="AP5" s="73" t="s">
        <v>976</v>
      </c>
      <c r="AQ5" s="73">
        <v>50</v>
      </c>
      <c r="AR5" s="73">
        <v>40</v>
      </c>
      <c r="AS5" s="73" t="s">
        <v>506</v>
      </c>
      <c r="AT5" s="73" t="s">
        <v>507</v>
      </c>
      <c r="AU5" s="73" t="s">
        <v>33</v>
      </c>
      <c r="AV5" s="73" t="s">
        <v>514</v>
      </c>
      <c r="AW5" s="73" t="s">
        <v>32</v>
      </c>
      <c r="AX5" s="73" t="s">
        <v>515</v>
      </c>
      <c r="AY5" s="73" t="s">
        <v>792</v>
      </c>
      <c r="AZ5" s="73" t="s">
        <v>793</v>
      </c>
      <c r="BA5" s="107" t="s">
        <v>23</v>
      </c>
      <c r="BB5" s="73" t="s">
        <v>518</v>
      </c>
      <c r="BC5" s="73" t="s">
        <v>519</v>
      </c>
      <c r="BD5" s="73" t="s">
        <v>520</v>
      </c>
      <c r="BE5" s="73" t="s">
        <v>526</v>
      </c>
      <c r="BF5" s="73" t="s">
        <v>526</v>
      </c>
      <c r="BG5" s="73" t="s">
        <v>35</v>
      </c>
      <c r="BH5" s="73">
        <v>17.600000000000001</v>
      </c>
      <c r="BI5" s="73" t="s">
        <v>963</v>
      </c>
      <c r="BJ5" s="73">
        <v>0</v>
      </c>
      <c r="BK5" s="107" t="s">
        <v>964</v>
      </c>
      <c r="BL5" s="73">
        <v>0</v>
      </c>
      <c r="BM5" s="73">
        <v>10000</v>
      </c>
      <c r="BN5" s="73">
        <v>24</v>
      </c>
      <c r="BO5" s="73">
        <v>0.13100000000000001</v>
      </c>
      <c r="BP5" s="73">
        <v>0.13400000000000001</v>
      </c>
      <c r="BQ5" s="73">
        <v>1.5151515151515164E-2</v>
      </c>
      <c r="BR5" s="73">
        <v>0.14000000000000001</v>
      </c>
      <c r="BS5" s="73">
        <v>0.14199999999999999</v>
      </c>
      <c r="BT5" s="73">
        <v>1.42857142857141E-2</v>
      </c>
      <c r="BU5" s="73">
        <v>0.13500000000000001</v>
      </c>
      <c r="BV5" s="73">
        <v>0.13500000000000001</v>
      </c>
      <c r="BW5" s="73">
        <v>0</v>
      </c>
      <c r="BX5" s="74">
        <v>1.24E-2</v>
      </c>
      <c r="BY5" s="73">
        <v>100</v>
      </c>
      <c r="BZ5" s="76">
        <v>6.018518518518519E-4</v>
      </c>
      <c r="CA5" s="73">
        <v>115.38461538461539</v>
      </c>
      <c r="CB5" s="76">
        <v>5.9027777777777778E-4</v>
      </c>
      <c r="CC5" s="73">
        <v>117.64705882352942</v>
      </c>
      <c r="CD5" s="79">
        <v>1.9607843137254954E-2</v>
      </c>
      <c r="CE5" s="76">
        <v>5.3240740740740744E-4</v>
      </c>
      <c r="CF5" s="73">
        <v>130.43478260869566</v>
      </c>
      <c r="CG5" s="76">
        <v>5.4398148148148144E-4</v>
      </c>
      <c r="CH5" s="73">
        <v>127.65957446808511</v>
      </c>
      <c r="CI5" s="78">
        <v>2.127659574468084E-2</v>
      </c>
      <c r="CJ5" s="76">
        <v>6.4814814814814813E-4</v>
      </c>
      <c r="CK5" s="73">
        <v>107.14285714285714</v>
      </c>
      <c r="CL5" s="76">
        <v>6.8287037037037036E-4</v>
      </c>
      <c r="CM5" s="73">
        <v>101.69491525423729</v>
      </c>
      <c r="CN5" s="79">
        <v>5.084745762711862E-2</v>
      </c>
      <c r="CO5" s="78">
        <v>3.0577298836351473E-2</v>
      </c>
      <c r="CP5" s="73">
        <v>54.8</v>
      </c>
      <c r="CQ5" s="73" t="s">
        <v>965</v>
      </c>
      <c r="CR5" s="73">
        <v>53</v>
      </c>
      <c r="CS5" s="73" t="s">
        <v>966</v>
      </c>
      <c r="CT5" s="73">
        <v>57.5</v>
      </c>
      <c r="CU5" s="73" t="s">
        <v>967</v>
      </c>
      <c r="CV5" s="73">
        <v>44.9</v>
      </c>
      <c r="CW5" s="73" t="s">
        <v>968</v>
      </c>
      <c r="CX5" s="73">
        <v>47.1</v>
      </c>
      <c r="CY5" s="73" t="s">
        <v>969</v>
      </c>
      <c r="CZ5" s="73">
        <v>43.9</v>
      </c>
      <c r="DA5" s="73" t="s">
        <v>970</v>
      </c>
      <c r="DB5" s="73">
        <v>54.5</v>
      </c>
      <c r="DC5" s="73" t="s">
        <v>971</v>
      </c>
      <c r="DD5" s="73">
        <v>50.5</v>
      </c>
      <c r="DE5" s="73" t="s">
        <v>972</v>
      </c>
      <c r="DF5" s="73">
        <v>54.7</v>
      </c>
      <c r="DG5" s="73" t="s">
        <v>973</v>
      </c>
      <c r="DH5" s="80">
        <v>45861</v>
      </c>
      <c r="DI5" s="80">
        <v>45862</v>
      </c>
      <c r="DJ5" s="76">
        <v>0.375</v>
      </c>
      <c r="DK5" s="76">
        <v>0.4375</v>
      </c>
      <c r="DL5" s="73" t="s">
        <v>977</v>
      </c>
      <c r="DM5" s="73">
        <v>60</v>
      </c>
      <c r="DN5" s="73">
        <v>41.19166666666667</v>
      </c>
      <c r="DO5" s="73">
        <v>49.8</v>
      </c>
      <c r="DP5" s="73" t="s">
        <v>960</v>
      </c>
      <c r="DQ5" s="73" t="s">
        <v>974</v>
      </c>
      <c r="DR5" s="73" t="s">
        <v>975</v>
      </c>
      <c r="DS5" s="107" t="s">
        <v>975</v>
      </c>
      <c r="DT5" s="73">
        <v>0.81930000000000003</v>
      </c>
      <c r="DU5" s="73">
        <v>0.88870000000000005</v>
      </c>
      <c r="DV5" s="73">
        <v>0.76349999999999996</v>
      </c>
      <c r="DW5" s="73">
        <v>0.82383333333333342</v>
      </c>
      <c r="DX5" s="73">
        <v>41.19166666666667</v>
      </c>
      <c r="DY5" s="73" t="s">
        <v>716</v>
      </c>
      <c r="DZ5" s="73" t="s">
        <v>716</v>
      </c>
      <c r="EA5" s="73" t="s">
        <v>716</v>
      </c>
      <c r="EB5" s="73" t="s">
        <v>716</v>
      </c>
      <c r="EC5" s="73" t="s">
        <v>716</v>
      </c>
      <c r="ED5" s="73" t="s">
        <v>716</v>
      </c>
      <c r="EE5" s="73" t="s">
        <v>716</v>
      </c>
      <c r="EF5" s="73" t="s">
        <v>716</v>
      </c>
      <c r="EG5" s="73">
        <v>15</v>
      </c>
      <c r="EH5" s="73">
        <v>30</v>
      </c>
      <c r="EI5" s="73" t="s">
        <v>715</v>
      </c>
      <c r="EJ5" t="s">
        <v>964</v>
      </c>
    </row>
    <row r="6" spans="1:140" x14ac:dyDescent="0.25">
      <c r="A6" s="73" t="s">
        <v>937</v>
      </c>
      <c r="B6" s="73" t="s">
        <v>17</v>
      </c>
      <c r="C6" s="73" t="s">
        <v>12</v>
      </c>
      <c r="D6" s="73" t="s">
        <v>771</v>
      </c>
      <c r="E6" s="73" t="s">
        <v>18</v>
      </c>
      <c r="F6" s="73" t="s">
        <v>772</v>
      </c>
      <c r="G6" s="73" t="s">
        <v>770</v>
      </c>
      <c r="H6" s="73" t="s">
        <v>861</v>
      </c>
      <c r="I6" s="80">
        <v>45867</v>
      </c>
      <c r="J6" s="73" t="s">
        <v>28</v>
      </c>
      <c r="K6" s="73" t="s">
        <v>934</v>
      </c>
      <c r="L6" s="73" t="s">
        <v>739</v>
      </c>
      <c r="M6" s="73" t="s">
        <v>739</v>
      </c>
      <c r="N6" s="73">
        <v>18.3</v>
      </c>
      <c r="O6" s="73">
        <v>18.5</v>
      </c>
      <c r="P6" s="73">
        <v>81.5</v>
      </c>
      <c r="Q6" s="73">
        <v>81.599999999999994</v>
      </c>
      <c r="R6" s="73" t="s">
        <v>526</v>
      </c>
      <c r="S6" s="73" t="s">
        <v>718</v>
      </c>
      <c r="T6" s="73" t="s">
        <v>879</v>
      </c>
      <c r="U6" s="73" t="s">
        <v>781</v>
      </c>
      <c r="V6" s="73" t="s">
        <v>200</v>
      </c>
      <c r="W6" s="73" t="s">
        <v>782</v>
      </c>
      <c r="X6" s="73" t="s">
        <v>783</v>
      </c>
      <c r="Y6" s="73" t="s">
        <v>879</v>
      </c>
      <c r="Z6" s="73" t="s">
        <v>938</v>
      </c>
      <c r="AA6" s="73" t="s">
        <v>739</v>
      </c>
      <c r="AB6" s="73" t="s">
        <v>739</v>
      </c>
      <c r="AC6" s="73" t="s">
        <v>781</v>
      </c>
      <c r="AD6" s="73" t="s">
        <v>785</v>
      </c>
      <c r="AE6" s="73" t="s">
        <v>836</v>
      </c>
      <c r="AF6" s="73" t="s">
        <v>739</v>
      </c>
      <c r="AG6" s="73" t="s">
        <v>504</v>
      </c>
      <c r="AH6" s="73" t="s">
        <v>673</v>
      </c>
      <c r="AI6" s="73" t="s">
        <v>25</v>
      </c>
      <c r="AJ6" s="73" t="s">
        <v>939</v>
      </c>
      <c r="AK6" s="73" t="s">
        <v>940</v>
      </c>
      <c r="AL6" s="73" t="s">
        <v>33</v>
      </c>
      <c r="AM6" s="73" t="s">
        <v>509</v>
      </c>
      <c r="AN6" s="73" t="s">
        <v>32</v>
      </c>
      <c r="AO6" s="73" t="s">
        <v>513</v>
      </c>
      <c r="AP6" s="73" t="s">
        <v>34</v>
      </c>
      <c r="AQ6" s="73">
        <v>50</v>
      </c>
      <c r="AR6" s="73">
        <v>40</v>
      </c>
      <c r="AS6" s="73" t="s">
        <v>506</v>
      </c>
      <c r="AT6" s="73" t="s">
        <v>507</v>
      </c>
      <c r="AU6" s="73" t="s">
        <v>33</v>
      </c>
      <c r="AV6" s="73" t="s">
        <v>514</v>
      </c>
      <c r="AW6" s="73" t="s">
        <v>32</v>
      </c>
      <c r="AX6" s="73" t="s">
        <v>515</v>
      </c>
      <c r="AY6" s="73" t="s">
        <v>792</v>
      </c>
      <c r="AZ6" s="73" t="s">
        <v>793</v>
      </c>
      <c r="BA6" s="107" t="s">
        <v>23</v>
      </c>
      <c r="BB6" s="73" t="s">
        <v>518</v>
      </c>
      <c r="BC6" s="73" t="s">
        <v>519</v>
      </c>
      <c r="BD6" s="73" t="s">
        <v>520</v>
      </c>
      <c r="BE6" s="73" t="s">
        <v>526</v>
      </c>
      <c r="BF6" s="73" t="s">
        <v>526</v>
      </c>
      <c r="BG6" s="73" t="s">
        <v>35</v>
      </c>
      <c r="BH6" s="73">
        <v>17.8</v>
      </c>
      <c r="BI6" s="73" t="s">
        <v>941</v>
      </c>
      <c r="BJ6" s="73">
        <v>0</v>
      </c>
      <c r="BK6" s="107" t="s">
        <v>942</v>
      </c>
      <c r="BL6" s="73">
        <v>0</v>
      </c>
      <c r="BM6" s="73">
        <v>2000</v>
      </c>
      <c r="BN6" s="73">
        <v>24</v>
      </c>
      <c r="BO6" s="73">
        <v>0.13300000000000001</v>
      </c>
      <c r="BP6" s="73">
        <v>0.13200000000000001</v>
      </c>
      <c r="BQ6" s="73">
        <v>7.5187969924812095E-3</v>
      </c>
      <c r="BR6" s="73">
        <v>0.14000000000000001</v>
      </c>
      <c r="BS6" s="73">
        <v>0.14000000000000001</v>
      </c>
      <c r="BT6" s="73">
        <v>0</v>
      </c>
      <c r="BU6" s="73">
        <v>0.13100000000000001</v>
      </c>
      <c r="BV6" s="73">
        <v>0.13200000000000001</v>
      </c>
      <c r="BW6" s="73">
        <v>7.6335877862595486E-3</v>
      </c>
      <c r="BX6" s="74">
        <v>5.0507949262469194E-3</v>
      </c>
      <c r="BY6" s="73">
        <v>100</v>
      </c>
      <c r="BZ6" s="76">
        <v>6.018518518518519E-4</v>
      </c>
      <c r="CA6" s="73">
        <v>115.38461538461539</v>
      </c>
      <c r="CB6" s="76">
        <v>7.5231481481481482E-4</v>
      </c>
      <c r="CC6" s="73">
        <v>92.307692307692321</v>
      </c>
      <c r="CD6" s="79">
        <v>0.1999999999999999</v>
      </c>
      <c r="CE6" s="76">
        <v>4.9768518518518521E-4</v>
      </c>
      <c r="CF6" s="73">
        <v>139.53488372093022</v>
      </c>
      <c r="CG6" s="76">
        <v>6.4814814814814813E-4</v>
      </c>
      <c r="CH6" s="73">
        <v>107.14285714285714</v>
      </c>
      <c r="CI6" s="78">
        <v>0.23214285714285712</v>
      </c>
      <c r="CJ6" s="76">
        <v>6.018518518518519E-4</v>
      </c>
      <c r="CK6" s="73">
        <v>115.38461538461539</v>
      </c>
      <c r="CL6" s="76">
        <v>7.5231481481481482E-4</v>
      </c>
      <c r="CM6" s="73">
        <v>92.307692307692321</v>
      </c>
      <c r="CN6" s="79">
        <v>0.1999999999999999</v>
      </c>
      <c r="CO6" s="78">
        <v>0.21071428571428563</v>
      </c>
      <c r="CP6" s="73">
        <v>56.1</v>
      </c>
      <c r="CQ6" s="73" t="s">
        <v>943</v>
      </c>
      <c r="CR6" s="73">
        <v>53</v>
      </c>
      <c r="CS6" s="73" t="s">
        <v>944</v>
      </c>
      <c r="CT6" s="73">
        <v>55.3</v>
      </c>
      <c r="CU6" s="73" t="s">
        <v>945</v>
      </c>
      <c r="CV6" s="73">
        <v>43.7</v>
      </c>
      <c r="CW6" s="73" t="s">
        <v>946</v>
      </c>
      <c r="CX6" s="73">
        <v>42.6</v>
      </c>
      <c r="CY6" s="73" t="s">
        <v>947</v>
      </c>
      <c r="CZ6" s="73">
        <v>39.1</v>
      </c>
      <c r="DA6" s="73" t="s">
        <v>948</v>
      </c>
      <c r="DB6" s="73">
        <v>50</v>
      </c>
      <c r="DC6" s="73" t="s">
        <v>949</v>
      </c>
      <c r="DD6" s="73">
        <v>51.2</v>
      </c>
      <c r="DE6" s="73" t="s">
        <v>950</v>
      </c>
      <c r="DF6" s="73">
        <v>53.8</v>
      </c>
      <c r="DG6" s="73" t="s">
        <v>951</v>
      </c>
      <c r="DH6" s="80">
        <v>45860</v>
      </c>
      <c r="DI6" s="80">
        <v>45861</v>
      </c>
      <c r="DJ6" s="76">
        <v>0.43402777777777779</v>
      </c>
      <c r="DK6" s="76">
        <v>0.4861111111111111</v>
      </c>
      <c r="DL6" s="73" t="s">
        <v>954</v>
      </c>
      <c r="DM6" s="73">
        <v>60</v>
      </c>
      <c r="DN6" s="73">
        <v>38.164999999999999</v>
      </c>
      <c r="DO6" s="73">
        <v>45.7</v>
      </c>
      <c r="DP6" s="73" t="s">
        <v>940</v>
      </c>
      <c r="DQ6" s="73" t="s">
        <v>952</v>
      </c>
      <c r="DR6" s="73">
        <v>54.2</v>
      </c>
      <c r="DS6" s="107" t="s">
        <v>953</v>
      </c>
      <c r="DT6" s="73">
        <v>0.77900000000000003</v>
      </c>
      <c r="DU6" s="73">
        <v>0.80379999999999996</v>
      </c>
      <c r="DV6" s="73">
        <v>0.70709999999999995</v>
      </c>
      <c r="DW6" s="73">
        <v>0.76329999999999998</v>
      </c>
      <c r="DX6" s="73">
        <v>38.164999999999999</v>
      </c>
      <c r="DY6" s="73" t="s">
        <v>716</v>
      </c>
      <c r="DZ6" s="73" t="s">
        <v>858</v>
      </c>
      <c r="EA6" s="73" t="s">
        <v>716</v>
      </c>
      <c r="EB6" s="73" t="s">
        <v>716</v>
      </c>
      <c r="EC6" s="73" t="s">
        <v>716</v>
      </c>
      <c r="ED6" s="73" t="s">
        <v>716</v>
      </c>
      <c r="EE6" s="73" t="s">
        <v>716</v>
      </c>
      <c r="EF6" s="73" t="s">
        <v>716</v>
      </c>
      <c r="EG6" s="73">
        <v>15</v>
      </c>
      <c r="EH6" s="73">
        <v>30</v>
      </c>
      <c r="EI6" s="73" t="s">
        <v>715</v>
      </c>
      <c r="EJ6" t="s">
        <v>942</v>
      </c>
    </row>
    <row r="7" spans="1:140" x14ac:dyDescent="0.25">
      <c r="A7" s="73" t="s">
        <v>915</v>
      </c>
      <c r="B7" s="73" t="s">
        <v>17</v>
      </c>
      <c r="C7" s="73" t="s">
        <v>12</v>
      </c>
      <c r="D7" s="73" t="s">
        <v>771</v>
      </c>
      <c r="E7" s="73" t="s">
        <v>18</v>
      </c>
      <c r="F7" s="73" t="s">
        <v>772</v>
      </c>
      <c r="G7" s="73" t="s">
        <v>770</v>
      </c>
      <c r="H7" s="73" t="s">
        <v>861</v>
      </c>
      <c r="I7" s="80">
        <v>45848</v>
      </c>
      <c r="J7" s="73" t="s">
        <v>28</v>
      </c>
      <c r="K7" s="73" t="s">
        <v>934</v>
      </c>
      <c r="L7" s="73" t="s">
        <v>739</v>
      </c>
      <c r="M7" s="73" t="s">
        <v>739</v>
      </c>
      <c r="N7" s="73">
        <v>16.2</v>
      </c>
      <c r="O7" s="73">
        <v>17.899999999999999</v>
      </c>
      <c r="P7" s="73">
        <v>80.099999999999994</v>
      </c>
      <c r="Q7" s="73">
        <v>82.4</v>
      </c>
      <c r="R7" s="73" t="s">
        <v>526</v>
      </c>
      <c r="S7" s="73" t="s">
        <v>718</v>
      </c>
      <c r="T7" s="73" t="s">
        <v>879</v>
      </c>
      <c r="U7" s="73" t="s">
        <v>781</v>
      </c>
      <c r="V7" s="73" t="s">
        <v>200</v>
      </c>
      <c r="W7" s="73" t="s">
        <v>782</v>
      </c>
      <c r="X7" s="73" t="s">
        <v>783</v>
      </c>
      <c r="Y7" s="73" t="s">
        <v>879</v>
      </c>
      <c r="Z7" s="73" t="s">
        <v>916</v>
      </c>
      <c r="AA7" s="73" t="s">
        <v>739</v>
      </c>
      <c r="AB7" s="73" t="s">
        <v>739</v>
      </c>
      <c r="AC7" s="73" t="s">
        <v>781</v>
      </c>
      <c r="AD7" s="73" t="s">
        <v>917</v>
      </c>
      <c r="AE7" s="73" t="s">
        <v>836</v>
      </c>
      <c r="AF7" s="73" t="s">
        <v>739</v>
      </c>
      <c r="AG7" s="73" t="s">
        <v>504</v>
      </c>
      <c r="AH7" s="73" t="s">
        <v>673</v>
      </c>
      <c r="AI7" s="73" t="s">
        <v>25</v>
      </c>
      <c r="AJ7" s="73" t="s">
        <v>918</v>
      </c>
      <c r="AK7" s="73" t="s">
        <v>919</v>
      </c>
      <c r="AL7" s="73" t="s">
        <v>33</v>
      </c>
      <c r="AM7" s="73" t="s">
        <v>509</v>
      </c>
      <c r="AN7" s="73" t="s">
        <v>32</v>
      </c>
      <c r="AO7" s="73" t="s">
        <v>513</v>
      </c>
      <c r="AP7" s="73" t="s">
        <v>34</v>
      </c>
      <c r="AQ7" s="73">
        <v>50</v>
      </c>
      <c r="AR7" s="73">
        <v>40</v>
      </c>
      <c r="AS7" s="73" t="s">
        <v>506</v>
      </c>
      <c r="AT7" s="73" t="s">
        <v>507</v>
      </c>
      <c r="AU7" s="73" t="s">
        <v>33</v>
      </c>
      <c r="AV7" s="73" t="s">
        <v>514</v>
      </c>
      <c r="AW7" s="73" t="s">
        <v>32</v>
      </c>
      <c r="AX7" s="73" t="s">
        <v>515</v>
      </c>
      <c r="AY7" s="73" t="s">
        <v>792</v>
      </c>
      <c r="AZ7" s="73" t="s">
        <v>23</v>
      </c>
      <c r="BA7" s="107" t="s">
        <v>793</v>
      </c>
      <c r="BB7" s="73" t="s">
        <v>518</v>
      </c>
      <c r="BC7" s="73" t="s">
        <v>519</v>
      </c>
      <c r="BD7" s="73" t="s">
        <v>520</v>
      </c>
      <c r="BE7" s="73" t="s">
        <v>526</v>
      </c>
      <c r="BF7" s="73" t="s">
        <v>526</v>
      </c>
      <c r="BG7" s="73" t="s">
        <v>35</v>
      </c>
      <c r="BH7" s="73">
        <v>5</v>
      </c>
      <c r="BI7" s="73" t="s">
        <v>920</v>
      </c>
      <c r="BJ7" s="73">
        <v>0</v>
      </c>
      <c r="BK7" s="107" t="s">
        <v>921</v>
      </c>
      <c r="BL7" s="73">
        <v>0</v>
      </c>
      <c r="BM7" s="73">
        <v>10000</v>
      </c>
      <c r="BN7" s="73">
        <v>24</v>
      </c>
      <c r="BO7" s="73">
        <v>0.13200000000000001</v>
      </c>
      <c r="BP7" s="73">
        <v>0.13300000000000001</v>
      </c>
      <c r="BQ7" s="73">
        <v>7.575757575757582E-3</v>
      </c>
      <c r="BR7" s="73">
        <v>0.13200000000000001</v>
      </c>
      <c r="BS7" s="73">
        <v>0.13300000000000001</v>
      </c>
      <c r="BT7" s="73">
        <v>7.575757575757582E-3</v>
      </c>
      <c r="BU7" s="73">
        <v>0.14099999999999999</v>
      </c>
      <c r="BV7" s="73">
        <v>0.14299999999999999</v>
      </c>
      <c r="BW7" s="73">
        <v>1.4184397163120581E-2</v>
      </c>
      <c r="BX7" s="74">
        <v>9.7786374382119162E-3</v>
      </c>
      <c r="BY7" s="73">
        <v>100</v>
      </c>
      <c r="BZ7" s="76">
        <v>7.5231481481481482E-4</v>
      </c>
      <c r="CA7" s="73">
        <v>92.307692307692321</v>
      </c>
      <c r="CB7" s="76">
        <v>7.1759259259259259E-4</v>
      </c>
      <c r="CC7" s="73">
        <v>96.774193548387103</v>
      </c>
      <c r="CD7" s="79">
        <v>4.8387096774193471E-2</v>
      </c>
      <c r="CE7" s="76">
        <v>7.7546296296296293E-4</v>
      </c>
      <c r="CF7" s="73">
        <v>89.552238805970148</v>
      </c>
      <c r="CG7" s="76">
        <v>7.5231481481481482E-4</v>
      </c>
      <c r="CH7" s="73">
        <v>92.307692307692321</v>
      </c>
      <c r="CI7" s="78">
        <v>3.0769230769230927E-2</v>
      </c>
      <c r="CJ7" s="76">
        <v>6.5972222222222224E-4</v>
      </c>
      <c r="CK7" s="73">
        <v>105.26315789473684</v>
      </c>
      <c r="CL7" s="76">
        <v>6.4814814814814813E-4</v>
      </c>
      <c r="CM7" s="73">
        <v>107.14285714285714</v>
      </c>
      <c r="CN7" s="79">
        <v>1.7857142857142884E-2</v>
      </c>
      <c r="CO7" s="78">
        <v>3.2337823466855764E-2</v>
      </c>
      <c r="CP7" s="73">
        <v>55</v>
      </c>
      <c r="CQ7" s="73" t="s">
        <v>922</v>
      </c>
      <c r="CR7" s="73">
        <v>57.1</v>
      </c>
      <c r="CS7" s="73" t="s">
        <v>923</v>
      </c>
      <c r="CT7" s="73">
        <v>54.9</v>
      </c>
      <c r="CU7" s="73" t="s">
        <v>924</v>
      </c>
      <c r="CV7" s="73">
        <v>44.3</v>
      </c>
      <c r="CW7" s="73" t="s">
        <v>925</v>
      </c>
      <c r="CX7" s="73">
        <v>53.8</v>
      </c>
      <c r="CY7" s="73" t="s">
        <v>926</v>
      </c>
      <c r="CZ7" s="73">
        <v>48.8</v>
      </c>
      <c r="DA7" s="73" t="s">
        <v>927</v>
      </c>
      <c r="DB7" s="73">
        <v>51.1</v>
      </c>
      <c r="DC7" s="73" t="s">
        <v>928</v>
      </c>
      <c r="DD7" s="73">
        <v>54.5</v>
      </c>
      <c r="DE7" s="73" t="s">
        <v>929</v>
      </c>
      <c r="DF7" s="73">
        <v>50.2</v>
      </c>
      <c r="DG7" s="73" t="s">
        <v>930</v>
      </c>
      <c r="DH7" s="80">
        <v>45841</v>
      </c>
      <c r="DI7" s="80">
        <v>45842</v>
      </c>
      <c r="DJ7" s="76">
        <v>0.39583333333333331</v>
      </c>
      <c r="DK7" s="76">
        <v>0.39652777777777776</v>
      </c>
      <c r="DL7" s="73" t="s">
        <v>933</v>
      </c>
      <c r="DM7" s="73">
        <v>60</v>
      </c>
      <c r="DN7" s="73">
        <v>43.943333333333335</v>
      </c>
      <c r="DO7" s="73">
        <v>53.3</v>
      </c>
      <c r="DP7" s="73" t="s">
        <v>919</v>
      </c>
      <c r="DQ7" s="73" t="s">
        <v>931</v>
      </c>
      <c r="DR7" s="73">
        <v>56.3</v>
      </c>
      <c r="DS7" s="107" t="s">
        <v>932</v>
      </c>
      <c r="DT7" s="73">
        <v>0.80549999999999999</v>
      </c>
      <c r="DU7" s="73">
        <v>0.94220000000000004</v>
      </c>
      <c r="DV7" s="73">
        <v>0.88890000000000002</v>
      </c>
      <c r="DW7" s="73">
        <v>0.87886666666666668</v>
      </c>
      <c r="DX7" s="73">
        <v>43.943333333333335</v>
      </c>
      <c r="DY7" s="73" t="s">
        <v>716</v>
      </c>
      <c r="DZ7" s="73" t="s">
        <v>716</v>
      </c>
      <c r="EA7" s="73" t="s">
        <v>716</v>
      </c>
      <c r="EB7" s="73" t="s">
        <v>716</v>
      </c>
      <c r="EC7" s="73" t="s">
        <v>716</v>
      </c>
      <c r="ED7" s="73" t="s">
        <v>716</v>
      </c>
      <c r="EE7" s="73" t="s">
        <v>716</v>
      </c>
      <c r="EF7" s="73" t="s">
        <v>716</v>
      </c>
      <c r="EG7" s="73">
        <v>15</v>
      </c>
      <c r="EH7" s="73">
        <v>30</v>
      </c>
      <c r="EI7" s="73" t="s">
        <v>715</v>
      </c>
      <c r="EJ7" t="s">
        <v>921</v>
      </c>
    </row>
    <row r="8" spans="1:140" x14ac:dyDescent="0.25">
      <c r="A8" s="73" t="s">
        <v>897</v>
      </c>
      <c r="B8" s="73" t="s">
        <v>17</v>
      </c>
      <c r="C8" s="73" t="s">
        <v>12</v>
      </c>
      <c r="D8" s="73" t="s">
        <v>771</v>
      </c>
      <c r="E8" s="73" t="s">
        <v>18</v>
      </c>
      <c r="F8" s="73" t="s">
        <v>772</v>
      </c>
      <c r="G8" s="73" t="s">
        <v>770</v>
      </c>
      <c r="H8" s="73" t="s">
        <v>861</v>
      </c>
      <c r="I8" s="80">
        <v>45848</v>
      </c>
      <c r="J8" s="73" t="s">
        <v>28</v>
      </c>
      <c r="K8" s="73" t="s">
        <v>934</v>
      </c>
      <c r="L8" s="73" t="s">
        <v>739</v>
      </c>
      <c r="M8" s="73" t="s">
        <v>739</v>
      </c>
      <c r="N8" s="73" t="s">
        <v>898</v>
      </c>
      <c r="O8" s="73">
        <v>16.899999999999999</v>
      </c>
      <c r="P8" s="73">
        <v>77</v>
      </c>
      <c r="Q8" s="73">
        <v>75.2</v>
      </c>
      <c r="R8" s="73" t="s">
        <v>526</v>
      </c>
      <c r="S8" s="73" t="s">
        <v>718</v>
      </c>
      <c r="T8" s="73" t="s">
        <v>879</v>
      </c>
      <c r="U8" s="73" t="s">
        <v>781</v>
      </c>
      <c r="V8" s="73" t="s">
        <v>200</v>
      </c>
      <c r="W8" s="73" t="s">
        <v>782</v>
      </c>
      <c r="X8" s="73" t="s">
        <v>783</v>
      </c>
      <c r="Y8" s="73" t="s">
        <v>879</v>
      </c>
      <c r="Z8" s="73" t="s">
        <v>899</v>
      </c>
      <c r="AA8" s="73" t="s">
        <v>739</v>
      </c>
      <c r="AB8" s="73" t="s">
        <v>739</v>
      </c>
      <c r="AC8" s="73" t="s">
        <v>781</v>
      </c>
      <c r="AD8" s="73" t="s">
        <v>785</v>
      </c>
      <c r="AE8" s="73" t="s">
        <v>836</v>
      </c>
      <c r="AF8" s="73" t="s">
        <v>739</v>
      </c>
      <c r="AG8" s="73" t="s">
        <v>504</v>
      </c>
      <c r="AH8" s="73" t="s">
        <v>673</v>
      </c>
      <c r="AI8" s="73" t="s">
        <v>25</v>
      </c>
      <c r="AJ8" s="73" t="s">
        <v>806</v>
      </c>
      <c r="AK8" s="73" t="s">
        <v>900</v>
      </c>
      <c r="AL8" s="73" t="s">
        <v>33</v>
      </c>
      <c r="AM8" s="73" t="s">
        <v>509</v>
      </c>
      <c r="AN8" s="73" t="s">
        <v>32</v>
      </c>
      <c r="AO8" s="73" t="s">
        <v>513</v>
      </c>
      <c r="AP8" s="73" t="s">
        <v>34</v>
      </c>
      <c r="AQ8" s="73">
        <v>50</v>
      </c>
      <c r="AR8" s="73">
        <v>40</v>
      </c>
      <c r="AS8" s="73" t="s">
        <v>506</v>
      </c>
      <c r="AT8" s="73" t="s">
        <v>507</v>
      </c>
      <c r="AU8" s="73" t="s">
        <v>33</v>
      </c>
      <c r="AV8" s="73" t="s">
        <v>514</v>
      </c>
      <c r="AW8" s="73" t="s">
        <v>32</v>
      </c>
      <c r="AX8" s="73" t="s">
        <v>515</v>
      </c>
      <c r="AY8" s="73" t="s">
        <v>792</v>
      </c>
      <c r="AZ8" s="73" t="s">
        <v>23</v>
      </c>
      <c r="BA8" s="107" t="s">
        <v>793</v>
      </c>
      <c r="BB8" s="73" t="s">
        <v>518</v>
      </c>
      <c r="BC8" s="73" t="s">
        <v>519</v>
      </c>
      <c r="BD8" s="73" t="s">
        <v>520</v>
      </c>
      <c r="BE8" s="73" t="s">
        <v>526</v>
      </c>
      <c r="BF8" s="73" t="s">
        <v>526</v>
      </c>
      <c r="BG8" s="73" t="s">
        <v>35</v>
      </c>
      <c r="BH8" s="73" t="s">
        <v>882</v>
      </c>
      <c r="BI8" s="73" t="s">
        <v>901</v>
      </c>
      <c r="BJ8" s="73">
        <v>0</v>
      </c>
      <c r="BK8" s="107" t="s">
        <v>902</v>
      </c>
      <c r="BL8" s="73">
        <v>0</v>
      </c>
      <c r="BM8" s="73">
        <v>2000</v>
      </c>
      <c r="BN8" s="73">
        <v>24</v>
      </c>
      <c r="BO8" s="73">
        <v>0.13100000000000001</v>
      </c>
      <c r="BP8" s="73">
        <v>0.13300000000000001</v>
      </c>
      <c r="BQ8" s="73">
        <v>1.5267175572519097E-2</v>
      </c>
      <c r="BR8" s="73">
        <v>0.13200000000000001</v>
      </c>
      <c r="BS8" s="73">
        <v>0.13100000000000001</v>
      </c>
      <c r="BT8" s="73">
        <v>7.575757575757582E-3</v>
      </c>
      <c r="BU8" s="73">
        <v>0.14000000000000001</v>
      </c>
      <c r="BV8" s="73">
        <v>0.14000000000000001</v>
      </c>
      <c r="BW8" s="73">
        <v>0</v>
      </c>
      <c r="BX8" s="74">
        <v>7.6143110494255595E-3</v>
      </c>
      <c r="BY8" s="73">
        <v>100</v>
      </c>
      <c r="BZ8" s="76">
        <v>6.9444444444444447E-4</v>
      </c>
      <c r="CA8" s="73">
        <v>100</v>
      </c>
      <c r="CB8" s="76">
        <v>7.5231481481481482E-4</v>
      </c>
      <c r="CC8" s="73">
        <v>92.307692307692321</v>
      </c>
      <c r="CD8" s="79">
        <v>7.6923076923076789E-2</v>
      </c>
      <c r="CE8" s="76">
        <v>7.1759259259259259E-4</v>
      </c>
      <c r="CF8" s="73">
        <v>96.774193548387103</v>
      </c>
      <c r="CG8" s="76">
        <v>7.291666666666667E-4</v>
      </c>
      <c r="CH8" s="73">
        <v>95.238095238095241</v>
      </c>
      <c r="CI8" s="78">
        <v>1.587301587301591E-2</v>
      </c>
      <c r="CJ8" s="76">
        <v>6.7129629629629625E-4</v>
      </c>
      <c r="CK8" s="73">
        <v>103.44827586206898</v>
      </c>
      <c r="CL8" s="76">
        <v>6.7129629629629625E-4</v>
      </c>
      <c r="CM8" s="73">
        <v>103.44827586206898</v>
      </c>
      <c r="CN8" s="79">
        <v>0</v>
      </c>
      <c r="CO8" s="78">
        <v>3.09320309320309E-2</v>
      </c>
      <c r="CP8" s="73">
        <v>51</v>
      </c>
      <c r="CQ8" s="73" t="s">
        <v>903</v>
      </c>
      <c r="CR8" s="73">
        <v>52.7</v>
      </c>
      <c r="CS8" s="73" t="s">
        <v>904</v>
      </c>
      <c r="CT8" s="73">
        <v>51</v>
      </c>
      <c r="CU8" s="73" t="s">
        <v>905</v>
      </c>
      <c r="CV8" s="73">
        <v>43.1</v>
      </c>
      <c r="CW8" s="73" t="s">
        <v>906</v>
      </c>
      <c r="CX8" s="73">
        <v>51.3</v>
      </c>
      <c r="CY8" s="73" t="s">
        <v>907</v>
      </c>
      <c r="CZ8" s="73">
        <v>53.5</v>
      </c>
      <c r="DA8" s="73" t="s">
        <v>908</v>
      </c>
      <c r="DB8" s="73">
        <v>54.3</v>
      </c>
      <c r="DC8" s="73" t="s">
        <v>909</v>
      </c>
      <c r="DD8" s="73">
        <v>53.7</v>
      </c>
      <c r="DE8" s="73" t="s">
        <v>910</v>
      </c>
      <c r="DF8" s="73">
        <v>52.8</v>
      </c>
      <c r="DG8" s="73" t="s">
        <v>911</v>
      </c>
      <c r="DH8" s="80">
        <v>45839</v>
      </c>
      <c r="DI8" s="80">
        <v>45840</v>
      </c>
      <c r="DJ8" s="76">
        <v>0.51736111111111116</v>
      </c>
      <c r="DK8" s="76">
        <v>0.625</v>
      </c>
      <c r="DL8" s="73" t="s">
        <v>914</v>
      </c>
      <c r="DM8" s="73">
        <v>60</v>
      </c>
      <c r="DN8" s="73">
        <v>47.791666666666657</v>
      </c>
      <c r="DO8" s="73">
        <v>53.2</v>
      </c>
      <c r="DP8" s="73" t="s">
        <v>900</v>
      </c>
      <c r="DQ8" s="73" t="s">
        <v>912</v>
      </c>
      <c r="DR8" s="73">
        <v>55.1</v>
      </c>
      <c r="DS8" s="107" t="s">
        <v>913</v>
      </c>
      <c r="DT8" s="73">
        <v>0.84509999999999996</v>
      </c>
      <c r="DU8" s="73">
        <v>0.97340000000000004</v>
      </c>
      <c r="DV8" s="73">
        <v>1.0489999999999999</v>
      </c>
      <c r="DW8" s="73">
        <v>0.9558333333333332</v>
      </c>
      <c r="DX8" s="73">
        <v>47.791666666666657</v>
      </c>
      <c r="DY8" s="73" t="s">
        <v>716</v>
      </c>
      <c r="DZ8" s="73" t="s">
        <v>716</v>
      </c>
      <c r="EA8" s="73" t="s">
        <v>716</v>
      </c>
      <c r="EB8" s="73" t="s">
        <v>716</v>
      </c>
      <c r="EC8" s="73" t="s">
        <v>716</v>
      </c>
      <c r="ED8" s="73" t="s">
        <v>716</v>
      </c>
      <c r="EE8" s="73" t="s">
        <v>716</v>
      </c>
      <c r="EF8" s="73" t="s">
        <v>716</v>
      </c>
      <c r="EG8" s="73">
        <v>15</v>
      </c>
      <c r="EH8" s="73">
        <v>30</v>
      </c>
      <c r="EI8" s="73" t="s">
        <v>715</v>
      </c>
      <c r="EJ8" t="s">
        <v>902</v>
      </c>
    </row>
    <row r="9" spans="1:140" x14ac:dyDescent="0.25">
      <c r="A9" s="73" t="s">
        <v>878</v>
      </c>
      <c r="B9" s="73" t="s">
        <v>17</v>
      </c>
      <c r="C9" s="73" t="s">
        <v>12</v>
      </c>
      <c r="D9" s="73" t="s">
        <v>771</v>
      </c>
      <c r="E9" s="73" t="s">
        <v>18</v>
      </c>
      <c r="F9" s="73" t="s">
        <v>772</v>
      </c>
      <c r="G9" s="73" t="s">
        <v>770</v>
      </c>
      <c r="H9" s="73" t="s">
        <v>861</v>
      </c>
      <c r="I9" s="80">
        <v>45848</v>
      </c>
      <c r="J9" s="73" t="s">
        <v>28</v>
      </c>
      <c r="K9" s="73" t="s">
        <v>934</v>
      </c>
      <c r="L9" s="73" t="s">
        <v>739</v>
      </c>
      <c r="M9" s="73" t="s">
        <v>739</v>
      </c>
      <c r="N9" s="73">
        <v>16</v>
      </c>
      <c r="O9" s="73">
        <v>16</v>
      </c>
      <c r="P9" s="73">
        <v>74.7</v>
      </c>
      <c r="Q9" s="73">
        <v>70.5</v>
      </c>
      <c r="R9" s="73" t="s">
        <v>526</v>
      </c>
      <c r="S9" s="73" t="s">
        <v>718</v>
      </c>
      <c r="T9" s="73" t="s">
        <v>879</v>
      </c>
      <c r="U9" s="73" t="s">
        <v>781</v>
      </c>
      <c r="V9" s="73" t="s">
        <v>200</v>
      </c>
      <c r="W9" s="73" t="s">
        <v>782</v>
      </c>
      <c r="X9" s="73" t="s">
        <v>783</v>
      </c>
      <c r="Y9" s="73" t="s">
        <v>879</v>
      </c>
      <c r="Z9" s="73" t="s">
        <v>880</v>
      </c>
      <c r="AA9" s="73" t="s">
        <v>739</v>
      </c>
      <c r="AB9" s="73" t="s">
        <v>739</v>
      </c>
      <c r="AC9" s="73" t="s">
        <v>781</v>
      </c>
      <c r="AD9" s="73" t="s">
        <v>785</v>
      </c>
      <c r="AE9" s="73" t="s">
        <v>836</v>
      </c>
      <c r="AF9" s="73" t="s">
        <v>739</v>
      </c>
      <c r="AG9" s="73" t="s">
        <v>504</v>
      </c>
      <c r="AH9" s="73" t="s">
        <v>673</v>
      </c>
      <c r="AI9" s="73" t="s">
        <v>25</v>
      </c>
      <c r="AJ9" s="73" t="s">
        <v>806</v>
      </c>
      <c r="AK9" s="73" t="s">
        <v>881</v>
      </c>
      <c r="AL9" s="73" t="s">
        <v>33</v>
      </c>
      <c r="AM9" s="73" t="s">
        <v>509</v>
      </c>
      <c r="AN9" s="73" t="s">
        <v>32</v>
      </c>
      <c r="AO9" s="73" t="s">
        <v>513</v>
      </c>
      <c r="AP9" s="73" t="s">
        <v>34</v>
      </c>
      <c r="AQ9" s="73">
        <v>50</v>
      </c>
      <c r="AR9" s="73">
        <v>40</v>
      </c>
      <c r="AS9" s="73" t="s">
        <v>506</v>
      </c>
      <c r="AT9" s="73" t="s">
        <v>507</v>
      </c>
      <c r="AU9" s="73" t="s">
        <v>33</v>
      </c>
      <c r="AV9" s="73" t="s">
        <v>514</v>
      </c>
      <c r="AW9" s="73" t="s">
        <v>32</v>
      </c>
      <c r="AX9" s="73" t="s">
        <v>515</v>
      </c>
      <c r="AY9" s="73" t="s">
        <v>792</v>
      </c>
      <c r="AZ9" s="73" t="s">
        <v>23</v>
      </c>
      <c r="BA9" s="107" t="s">
        <v>793</v>
      </c>
      <c r="BB9" s="73" t="s">
        <v>518</v>
      </c>
      <c r="BC9" s="73" t="s">
        <v>519</v>
      </c>
      <c r="BD9" s="73" t="s">
        <v>520</v>
      </c>
      <c r="BE9" s="73" t="s">
        <v>526</v>
      </c>
      <c r="BF9" s="73" t="s">
        <v>526</v>
      </c>
      <c r="BG9" s="73" t="s">
        <v>35</v>
      </c>
      <c r="BH9" s="73" t="s">
        <v>882</v>
      </c>
      <c r="BI9" s="73" t="s">
        <v>883</v>
      </c>
      <c r="BJ9" s="73">
        <v>0</v>
      </c>
      <c r="BK9" s="107" t="s">
        <v>884</v>
      </c>
      <c r="BL9" s="73">
        <v>0</v>
      </c>
      <c r="BM9" s="73">
        <v>2000</v>
      </c>
      <c r="BN9" s="73">
        <v>24</v>
      </c>
      <c r="BO9" s="73">
        <v>0.13100000000000001</v>
      </c>
      <c r="BP9" s="73">
        <v>0.13400000000000001</v>
      </c>
      <c r="BQ9" s="73">
        <v>2.2900763358778647E-2</v>
      </c>
      <c r="BR9" s="73">
        <v>0.13300000000000001</v>
      </c>
      <c r="BS9" s="73">
        <v>0.13500000000000001</v>
      </c>
      <c r="BT9" s="73">
        <v>1.5037593984962419E-2</v>
      </c>
      <c r="BU9" s="73">
        <v>0.14000000000000001</v>
      </c>
      <c r="BV9" s="73">
        <v>0.14000000000000001</v>
      </c>
      <c r="BW9" s="73">
        <v>0</v>
      </c>
      <c r="BX9" s="74">
        <v>1.2646119114580356E-2</v>
      </c>
      <c r="BY9" s="73">
        <v>100</v>
      </c>
      <c r="BZ9" s="76">
        <v>7.5231481481481482E-4</v>
      </c>
      <c r="CA9" s="73">
        <v>92.307692307692321</v>
      </c>
      <c r="CB9" s="76">
        <v>7.8703703703703705E-4</v>
      </c>
      <c r="CC9" s="73">
        <v>88.235294117647058</v>
      </c>
      <c r="CD9" s="79">
        <v>4.4117647058823671E-2</v>
      </c>
      <c r="CE9" s="76">
        <v>7.7546296296296293E-4</v>
      </c>
      <c r="CF9" s="73">
        <v>89.552238805970148</v>
      </c>
      <c r="CG9" s="76">
        <v>7.9861111111111116E-4</v>
      </c>
      <c r="CH9" s="73">
        <v>86.956521739130423</v>
      </c>
      <c r="CI9" s="78">
        <v>2.8985507246376933E-2</v>
      </c>
      <c r="CJ9" s="76">
        <v>6.7129629629629625E-4</v>
      </c>
      <c r="CK9" s="73">
        <v>103.44827586206898</v>
      </c>
      <c r="CL9" s="76">
        <v>6.2500000000000001E-4</v>
      </c>
      <c r="CM9" s="73">
        <v>111.11111111111111</v>
      </c>
      <c r="CN9" s="79">
        <v>7.4074074074073931E-2</v>
      </c>
      <c r="CO9" s="78">
        <v>4.905907612642485E-2</v>
      </c>
      <c r="CP9" s="73">
        <v>53.1</v>
      </c>
      <c r="CQ9" s="73" t="s">
        <v>885</v>
      </c>
      <c r="CR9" s="73">
        <v>51</v>
      </c>
      <c r="CS9" s="73" t="s">
        <v>886</v>
      </c>
      <c r="CT9" s="73">
        <v>52.5</v>
      </c>
      <c r="CU9" s="73" t="s">
        <v>887</v>
      </c>
      <c r="CV9" s="73">
        <v>41.9</v>
      </c>
      <c r="CW9" s="73" t="s">
        <v>888</v>
      </c>
      <c r="CX9" s="73">
        <v>43.6</v>
      </c>
      <c r="CY9" s="73" t="s">
        <v>889</v>
      </c>
      <c r="CZ9" s="73">
        <v>41.4</v>
      </c>
      <c r="DA9" s="73" t="s">
        <v>890</v>
      </c>
      <c r="DB9" s="73">
        <v>50.9</v>
      </c>
      <c r="DC9" s="73" t="s">
        <v>891</v>
      </c>
      <c r="DD9" s="73">
        <v>52.8</v>
      </c>
      <c r="DE9" s="73" t="s">
        <v>892</v>
      </c>
      <c r="DF9" s="73">
        <v>53.9</v>
      </c>
      <c r="DG9" s="73" t="s">
        <v>893</v>
      </c>
      <c r="DH9" s="80">
        <v>45839</v>
      </c>
      <c r="DI9" s="80">
        <v>45840</v>
      </c>
      <c r="DJ9" s="76">
        <v>0.45833333333333331</v>
      </c>
      <c r="DK9" s="76">
        <v>0.46458333333333335</v>
      </c>
      <c r="DL9" s="73" t="s">
        <v>896</v>
      </c>
      <c r="DM9" s="73">
        <v>60</v>
      </c>
      <c r="DN9" s="73">
        <v>40.543333333333329</v>
      </c>
      <c r="DO9" s="73">
        <v>49.1</v>
      </c>
      <c r="DP9" s="73" t="s">
        <v>881</v>
      </c>
      <c r="DQ9" s="73" t="s">
        <v>894</v>
      </c>
      <c r="DR9" s="73">
        <v>56.1</v>
      </c>
      <c r="DS9" s="107" t="s">
        <v>895</v>
      </c>
      <c r="DT9" s="73">
        <v>0.78910000000000002</v>
      </c>
      <c r="DU9" s="73">
        <v>0.85489999999999999</v>
      </c>
      <c r="DV9" s="73">
        <v>0.78859999999999997</v>
      </c>
      <c r="DW9" s="73">
        <v>0.81086666666666662</v>
      </c>
      <c r="DX9" s="73">
        <v>40.543333333333329</v>
      </c>
      <c r="DY9" s="73" t="s">
        <v>716</v>
      </c>
      <c r="DZ9" s="73" t="s">
        <v>716</v>
      </c>
      <c r="EA9" s="73" t="s">
        <v>716</v>
      </c>
      <c r="EB9" s="73" t="s">
        <v>716</v>
      </c>
      <c r="EC9" s="73" t="s">
        <v>716</v>
      </c>
      <c r="ED9" s="73" t="s">
        <v>716</v>
      </c>
      <c r="EE9" s="73" t="s">
        <v>716</v>
      </c>
      <c r="EF9" s="73" t="s">
        <v>716</v>
      </c>
      <c r="EG9" s="73">
        <v>15</v>
      </c>
      <c r="EH9" s="73">
        <v>30</v>
      </c>
      <c r="EI9" s="73" t="s">
        <v>715</v>
      </c>
      <c r="EJ9" t="s">
        <v>884</v>
      </c>
    </row>
    <row r="10" spans="1:140" x14ac:dyDescent="0.25">
      <c r="A10" s="73" t="s">
        <v>860</v>
      </c>
      <c r="B10" s="73" t="s">
        <v>17</v>
      </c>
      <c r="C10" s="73" t="s">
        <v>12</v>
      </c>
      <c r="D10" s="73" t="s">
        <v>771</v>
      </c>
      <c r="E10" s="73" t="s">
        <v>18</v>
      </c>
      <c r="F10" s="73" t="s">
        <v>772</v>
      </c>
      <c r="G10" s="73" t="s">
        <v>770</v>
      </c>
      <c r="H10" s="73" t="s">
        <v>861</v>
      </c>
      <c r="I10" s="80">
        <v>45827</v>
      </c>
      <c r="J10" s="73" t="s">
        <v>28</v>
      </c>
      <c r="K10" s="73" t="s">
        <v>934</v>
      </c>
      <c r="L10" s="73" t="s">
        <v>739</v>
      </c>
      <c r="M10" s="73" t="s">
        <v>739</v>
      </c>
      <c r="N10" s="73">
        <v>16</v>
      </c>
      <c r="O10" s="73">
        <v>16</v>
      </c>
      <c r="P10" s="73">
        <v>74.7</v>
      </c>
      <c r="Q10" s="73">
        <v>70.5</v>
      </c>
      <c r="R10" s="73" t="s">
        <v>526</v>
      </c>
      <c r="S10" s="73" t="s">
        <v>718</v>
      </c>
      <c r="T10" s="73" t="s">
        <v>19</v>
      </c>
      <c r="U10" s="73" t="s">
        <v>781</v>
      </c>
      <c r="V10" s="73" t="s">
        <v>200</v>
      </c>
      <c r="W10" s="73" t="s">
        <v>782</v>
      </c>
      <c r="X10" s="73" t="s">
        <v>20</v>
      </c>
      <c r="Y10" s="73" t="s">
        <v>19</v>
      </c>
      <c r="Z10" s="73" t="s">
        <v>835</v>
      </c>
      <c r="AA10" s="73" t="s">
        <v>739</v>
      </c>
      <c r="AB10" s="73" t="s">
        <v>739</v>
      </c>
      <c r="AC10" s="73" t="s">
        <v>781</v>
      </c>
      <c r="AD10" s="73" t="s">
        <v>785</v>
      </c>
      <c r="AE10" s="73" t="s">
        <v>836</v>
      </c>
      <c r="AF10" s="73" t="s">
        <v>739</v>
      </c>
      <c r="AG10" s="73" t="s">
        <v>504</v>
      </c>
      <c r="AH10" s="73" t="s">
        <v>673</v>
      </c>
      <c r="AI10" s="73" t="s">
        <v>25</v>
      </c>
      <c r="AJ10" s="73" t="s">
        <v>862</v>
      </c>
      <c r="AK10" s="73" t="s">
        <v>863</v>
      </c>
      <c r="AL10" s="73" t="s">
        <v>33</v>
      </c>
      <c r="AM10" s="73" t="s">
        <v>509</v>
      </c>
      <c r="AN10" s="73" t="s">
        <v>32</v>
      </c>
      <c r="AO10" s="73" t="s">
        <v>513</v>
      </c>
      <c r="AP10" s="73" t="s">
        <v>34</v>
      </c>
      <c r="AQ10" s="73">
        <v>50</v>
      </c>
      <c r="AR10" s="73">
        <v>40</v>
      </c>
      <c r="AS10" s="73" t="s">
        <v>506</v>
      </c>
      <c r="AT10" s="73" t="s">
        <v>507</v>
      </c>
      <c r="AU10" s="73" t="s">
        <v>33</v>
      </c>
      <c r="AV10" s="73" t="s">
        <v>514</v>
      </c>
      <c r="AW10" s="73" t="s">
        <v>32</v>
      </c>
      <c r="AX10" s="73" t="s">
        <v>515</v>
      </c>
      <c r="AY10" s="73" t="s">
        <v>22</v>
      </c>
      <c r="AZ10" s="73" t="s">
        <v>23</v>
      </c>
      <c r="BA10" s="107" t="s">
        <v>24</v>
      </c>
      <c r="BB10" s="73" t="s">
        <v>518</v>
      </c>
      <c r="BC10" s="73" t="s">
        <v>519</v>
      </c>
      <c r="BD10" s="73" t="s">
        <v>520</v>
      </c>
      <c r="BE10" s="73" t="s">
        <v>526</v>
      </c>
      <c r="BF10" s="73" t="s">
        <v>526</v>
      </c>
      <c r="BG10" s="73" t="s">
        <v>35</v>
      </c>
      <c r="BH10" s="73">
        <v>15.6</v>
      </c>
      <c r="BI10" s="73" t="s">
        <v>864</v>
      </c>
      <c r="BJ10" s="73">
        <v>0</v>
      </c>
      <c r="BK10" s="107" t="s">
        <v>865</v>
      </c>
      <c r="BL10" s="73">
        <v>0</v>
      </c>
      <c r="BM10" s="73">
        <v>2000</v>
      </c>
      <c r="BN10" s="73">
        <v>24</v>
      </c>
      <c r="BO10" s="73">
        <v>0.13200000000000001</v>
      </c>
      <c r="BP10" s="73">
        <v>0.13300000000000001</v>
      </c>
      <c r="BQ10" s="73">
        <v>7.575757575757582E-3</v>
      </c>
      <c r="BR10" s="73">
        <v>0.13200000000000001</v>
      </c>
      <c r="BS10" s="73">
        <v>0.13</v>
      </c>
      <c r="BT10" s="73">
        <v>1.5151515151515164E-2</v>
      </c>
      <c r="BU10" s="73">
        <v>0.13</v>
      </c>
      <c r="BV10" s="73">
        <v>0.13500000000000001</v>
      </c>
      <c r="BW10" s="73">
        <v>3.8461538461538491E-2</v>
      </c>
      <c r="BX10" s="74">
        <v>2.0396270396270413E-2</v>
      </c>
      <c r="BY10" s="73">
        <v>100</v>
      </c>
      <c r="BZ10" s="76">
        <v>6.7129629629629625E-4</v>
      </c>
      <c r="CA10" s="73">
        <v>103.44827586206898</v>
      </c>
      <c r="CB10" s="76">
        <v>7.8703703703703705E-4</v>
      </c>
      <c r="CC10" s="73">
        <v>88.235294117647058</v>
      </c>
      <c r="CD10" s="79">
        <v>0.14705882352941191</v>
      </c>
      <c r="CE10" s="76">
        <v>7.407407407407407E-4</v>
      </c>
      <c r="CF10" s="73">
        <v>93.75</v>
      </c>
      <c r="CG10" s="76">
        <v>8.6805555555555551E-4</v>
      </c>
      <c r="CH10" s="73">
        <v>80</v>
      </c>
      <c r="CI10" s="78">
        <v>0.14666666666666667</v>
      </c>
      <c r="CJ10" s="76">
        <v>7.8703703703703705E-4</v>
      </c>
      <c r="CK10" s="73">
        <v>88.235294117647058</v>
      </c>
      <c r="CL10" s="76">
        <v>9.0277777777777774E-4</v>
      </c>
      <c r="CM10" s="73">
        <v>76.92307692307692</v>
      </c>
      <c r="CN10" s="79">
        <v>0.12820512820512822</v>
      </c>
      <c r="CO10" s="78">
        <v>0.14064353946706895</v>
      </c>
      <c r="CP10" s="73">
        <v>54.6</v>
      </c>
      <c r="CQ10" s="73" t="s">
        <v>866</v>
      </c>
      <c r="CR10" s="73">
        <v>57.1</v>
      </c>
      <c r="CS10" s="73" t="s">
        <v>867</v>
      </c>
      <c r="CT10" s="73">
        <v>58.3</v>
      </c>
      <c r="CU10" s="73" t="s">
        <v>868</v>
      </c>
      <c r="CV10" s="73">
        <v>55.7</v>
      </c>
      <c r="CW10" s="73" t="s">
        <v>869</v>
      </c>
      <c r="CX10" s="73">
        <v>53.2</v>
      </c>
      <c r="CY10" s="73" t="s">
        <v>870</v>
      </c>
      <c r="CZ10" s="73">
        <v>57.9</v>
      </c>
      <c r="DA10" s="73" t="s">
        <v>871</v>
      </c>
      <c r="DB10" s="73">
        <v>54.7</v>
      </c>
      <c r="DC10" s="73" t="s">
        <v>872</v>
      </c>
      <c r="DD10" s="73">
        <v>54.5</v>
      </c>
      <c r="DE10" s="73" t="s">
        <v>873</v>
      </c>
      <c r="DF10" s="73">
        <v>51.8</v>
      </c>
      <c r="DG10" s="73" t="s">
        <v>874</v>
      </c>
      <c r="DH10" s="80">
        <v>45824</v>
      </c>
      <c r="DI10" s="80">
        <v>45825</v>
      </c>
      <c r="DJ10" s="76">
        <v>0.44444444444444442</v>
      </c>
      <c r="DK10" s="76">
        <v>0.47222222222222221</v>
      </c>
      <c r="DL10" s="73" t="s">
        <v>877</v>
      </c>
      <c r="DM10" s="73">
        <v>60</v>
      </c>
      <c r="DN10" s="73">
        <v>49.081666666666671</v>
      </c>
      <c r="DO10" s="73">
        <v>52.8</v>
      </c>
      <c r="DP10" s="73" t="s">
        <v>863</v>
      </c>
      <c r="DQ10" s="73" t="s">
        <v>875</v>
      </c>
      <c r="DR10" s="73">
        <v>57.6</v>
      </c>
      <c r="DS10" s="107" t="s">
        <v>876</v>
      </c>
      <c r="DT10" s="73">
        <v>1.0201</v>
      </c>
      <c r="DU10" s="73">
        <v>0.93169999999999997</v>
      </c>
      <c r="DV10" s="73">
        <v>0.99309999999999998</v>
      </c>
      <c r="DW10" s="73">
        <v>0.98163333333333336</v>
      </c>
      <c r="DX10" s="73">
        <v>49.081666666666671</v>
      </c>
      <c r="DY10" s="73" t="s">
        <v>716</v>
      </c>
      <c r="DZ10" s="73" t="s">
        <v>858</v>
      </c>
      <c r="EA10" s="73" t="s">
        <v>716</v>
      </c>
      <c r="EB10" s="73" t="s">
        <v>716</v>
      </c>
      <c r="EC10" s="73" t="s">
        <v>716</v>
      </c>
      <c r="ED10" s="73" t="s">
        <v>716</v>
      </c>
      <c r="EE10" s="73" t="s">
        <v>716</v>
      </c>
      <c r="EF10" s="73" t="s">
        <v>716</v>
      </c>
      <c r="EG10" s="73">
        <v>15</v>
      </c>
      <c r="EH10" s="73">
        <v>30</v>
      </c>
      <c r="EI10" s="73" t="s">
        <v>715</v>
      </c>
      <c r="EJ10" t="s">
        <v>865</v>
      </c>
    </row>
    <row r="11" spans="1:140" x14ac:dyDescent="0.25">
      <c r="A11" s="73" t="s">
        <v>855</v>
      </c>
      <c r="B11" s="73" t="s">
        <v>17</v>
      </c>
      <c r="C11" s="73" t="s">
        <v>12</v>
      </c>
      <c r="D11" s="73" t="s">
        <v>771</v>
      </c>
      <c r="E11" s="73" t="s">
        <v>18</v>
      </c>
      <c r="F11" s="73" t="s">
        <v>772</v>
      </c>
      <c r="G11" s="73" t="s">
        <v>770</v>
      </c>
      <c r="H11" s="73" t="s">
        <v>832</v>
      </c>
      <c r="I11" s="80"/>
      <c r="J11" s="73" t="s">
        <v>28</v>
      </c>
      <c r="K11" s="73" t="s">
        <v>28</v>
      </c>
      <c r="L11" s="73" t="s">
        <v>739</v>
      </c>
      <c r="M11" s="73" t="s">
        <v>739</v>
      </c>
      <c r="N11" s="73">
        <v>19.899999999999999</v>
      </c>
      <c r="O11" s="73">
        <v>18</v>
      </c>
      <c r="P11" s="73">
        <v>69.599999999999994</v>
      </c>
      <c r="Q11" s="73">
        <v>70.2</v>
      </c>
      <c r="R11" s="73" t="s">
        <v>526</v>
      </c>
      <c r="S11" s="73" t="s">
        <v>718</v>
      </c>
      <c r="T11" s="73" t="s">
        <v>833</v>
      </c>
      <c r="U11" s="73" t="s">
        <v>781</v>
      </c>
      <c r="V11" s="73" t="s">
        <v>200</v>
      </c>
      <c r="W11" s="73" t="s">
        <v>782</v>
      </c>
      <c r="X11" s="73" t="s">
        <v>834</v>
      </c>
      <c r="Y11" s="73" t="s">
        <v>833</v>
      </c>
      <c r="Z11" s="73" t="s">
        <v>835</v>
      </c>
      <c r="AA11" s="73" t="s">
        <v>739</v>
      </c>
      <c r="AB11" s="73" t="s">
        <v>739</v>
      </c>
      <c r="AC11" s="73" t="s">
        <v>781</v>
      </c>
      <c r="AD11" s="73" t="s">
        <v>785</v>
      </c>
      <c r="AE11" s="73" t="s">
        <v>836</v>
      </c>
      <c r="AF11" s="73" t="s">
        <v>739</v>
      </c>
      <c r="AG11" s="73" t="s">
        <v>504</v>
      </c>
      <c r="AH11" s="73" t="s">
        <v>673</v>
      </c>
      <c r="AI11" s="73" t="s">
        <v>25</v>
      </c>
      <c r="AJ11" s="73" t="s">
        <v>837</v>
      </c>
      <c r="AK11" s="73" t="s">
        <v>838</v>
      </c>
      <c r="AL11" s="73" t="s">
        <v>33</v>
      </c>
      <c r="AM11" s="73" t="s">
        <v>509</v>
      </c>
      <c r="AN11" s="73" t="s">
        <v>32</v>
      </c>
      <c r="AO11" s="73" t="s">
        <v>513</v>
      </c>
      <c r="AP11" s="73" t="s">
        <v>34</v>
      </c>
      <c r="AQ11" s="73">
        <v>50</v>
      </c>
      <c r="AR11" s="73">
        <v>40</v>
      </c>
      <c r="AS11" s="73" t="s">
        <v>506</v>
      </c>
      <c r="AT11" s="73" t="s">
        <v>507</v>
      </c>
      <c r="AU11" s="73" t="s">
        <v>33</v>
      </c>
      <c r="AV11" s="73" t="s">
        <v>514</v>
      </c>
      <c r="AW11" s="73" t="s">
        <v>32</v>
      </c>
      <c r="AX11" s="73" t="s">
        <v>515</v>
      </c>
      <c r="AY11" s="73" t="s">
        <v>839</v>
      </c>
      <c r="AZ11" s="73" t="s">
        <v>793</v>
      </c>
      <c r="BA11" s="107" t="s">
        <v>792</v>
      </c>
      <c r="BB11" s="73" t="s">
        <v>518</v>
      </c>
      <c r="BC11" s="73" t="s">
        <v>519</v>
      </c>
      <c r="BD11" s="73" t="s">
        <v>520</v>
      </c>
      <c r="BE11" s="73" t="s">
        <v>526</v>
      </c>
      <c r="BF11" s="73" t="s">
        <v>526</v>
      </c>
      <c r="BG11" s="73" t="s">
        <v>35</v>
      </c>
      <c r="BH11" s="73">
        <v>17.899999999999999</v>
      </c>
      <c r="BI11" s="73" t="s">
        <v>840</v>
      </c>
      <c r="BJ11" s="73">
        <v>0</v>
      </c>
      <c r="BK11" s="107">
        <v>50027866</v>
      </c>
      <c r="BL11" s="73">
        <v>0</v>
      </c>
      <c r="BM11" s="73">
        <v>2000</v>
      </c>
      <c r="BN11" s="73">
        <v>24</v>
      </c>
      <c r="BO11" s="73">
        <v>0.14899999999999999</v>
      </c>
      <c r="BP11" s="73">
        <v>0.14899999999999999</v>
      </c>
      <c r="BQ11" s="73">
        <v>0</v>
      </c>
      <c r="BR11" s="73">
        <v>0.14299999999999999</v>
      </c>
      <c r="BS11" s="73">
        <v>0.14299999999999999</v>
      </c>
      <c r="BT11" s="73">
        <v>0</v>
      </c>
      <c r="BU11" s="73">
        <v>0.129</v>
      </c>
      <c r="BV11" s="73">
        <v>0.13</v>
      </c>
      <c r="BW11" s="73">
        <v>7.7519379844961309E-3</v>
      </c>
      <c r="BX11" s="74">
        <v>2.583979328165377E-3</v>
      </c>
      <c r="BY11" s="73">
        <v>100</v>
      </c>
      <c r="BZ11" s="76">
        <v>5.5555555555555556E-4</v>
      </c>
      <c r="CA11" s="73">
        <v>125</v>
      </c>
      <c r="CB11" s="111">
        <v>6.7129629629629625E-4</v>
      </c>
      <c r="CC11" s="73">
        <v>103.44827586206898</v>
      </c>
      <c r="CD11" s="79">
        <v>0.17241379310344815</v>
      </c>
      <c r="CE11" s="76">
        <v>4.861111111111111E-4</v>
      </c>
      <c r="CF11" s="73">
        <v>142.85714285714286</v>
      </c>
      <c r="CG11" s="76">
        <v>6.018518518518519E-4</v>
      </c>
      <c r="CH11" s="73">
        <v>115.38461538461539</v>
      </c>
      <c r="CI11" s="78">
        <v>0.19230769230769232</v>
      </c>
      <c r="CJ11" s="76">
        <v>5.0925925925925921E-4</v>
      </c>
      <c r="CK11" s="73">
        <v>136.36363636363637</v>
      </c>
      <c r="CL11" s="76">
        <v>6.3657407407407413E-4</v>
      </c>
      <c r="CM11" s="73">
        <v>109.09090909090908</v>
      </c>
      <c r="CN11" s="79">
        <v>0.20000000000000015</v>
      </c>
      <c r="CO11" s="78">
        <v>0.18824049513704688</v>
      </c>
      <c r="CP11" s="73">
        <v>58.9</v>
      </c>
      <c r="CQ11" s="73" t="s">
        <v>841</v>
      </c>
      <c r="CR11" s="73">
        <v>52.9</v>
      </c>
      <c r="CS11" s="73" t="s">
        <v>842</v>
      </c>
      <c r="CT11" s="73">
        <v>55.8</v>
      </c>
      <c r="CU11" s="73" t="s">
        <v>843</v>
      </c>
      <c r="CV11" s="73">
        <v>51</v>
      </c>
      <c r="CW11" s="73" t="s">
        <v>844</v>
      </c>
      <c r="CX11" s="73">
        <v>54.6</v>
      </c>
      <c r="CY11" s="73" t="s">
        <v>845</v>
      </c>
      <c r="CZ11" s="73">
        <v>52.2</v>
      </c>
      <c r="DA11" s="73" t="s">
        <v>846</v>
      </c>
      <c r="DB11" s="73">
        <v>53</v>
      </c>
      <c r="DC11" s="73" t="s">
        <v>847</v>
      </c>
      <c r="DD11" s="73">
        <v>54.4</v>
      </c>
      <c r="DE11" s="73" t="s">
        <v>848</v>
      </c>
      <c r="DF11" s="73">
        <v>50.9</v>
      </c>
      <c r="DG11" s="73" t="s">
        <v>849</v>
      </c>
      <c r="DH11" s="80">
        <v>45803</v>
      </c>
      <c r="DI11" s="80">
        <v>45804</v>
      </c>
      <c r="DJ11" s="76">
        <v>0.47916666666666669</v>
      </c>
      <c r="DK11" s="76">
        <v>0.5</v>
      </c>
      <c r="DL11" s="127" t="s">
        <v>859</v>
      </c>
      <c r="DM11" s="73">
        <v>60</v>
      </c>
      <c r="DN11" s="73">
        <v>47.225000000000001</v>
      </c>
      <c r="DO11" s="73">
        <v>52.6</v>
      </c>
      <c r="DP11" s="73" t="s">
        <v>838</v>
      </c>
      <c r="DQ11" s="73" t="s">
        <v>856</v>
      </c>
      <c r="DR11" s="73">
        <v>53.9</v>
      </c>
      <c r="DS11" s="107" t="s">
        <v>857</v>
      </c>
      <c r="DT11" s="73">
        <v>0.8659</v>
      </c>
      <c r="DU11" s="73">
        <v>1.0321</v>
      </c>
      <c r="DV11" s="73">
        <v>0.9355</v>
      </c>
      <c r="DW11" s="73">
        <v>0.94450000000000001</v>
      </c>
      <c r="DX11" s="73">
        <v>47.225000000000001</v>
      </c>
      <c r="DY11" s="73" t="s">
        <v>716</v>
      </c>
      <c r="DZ11" s="73" t="s">
        <v>858</v>
      </c>
      <c r="EA11" s="73" t="s">
        <v>716</v>
      </c>
      <c r="EB11" s="73" t="s">
        <v>716</v>
      </c>
      <c r="EC11" s="73" t="s">
        <v>716</v>
      </c>
      <c r="ED11" s="73" t="s">
        <v>716</v>
      </c>
      <c r="EE11" s="73" t="s">
        <v>716</v>
      </c>
      <c r="EF11" s="73" t="s">
        <v>716</v>
      </c>
      <c r="EG11" s="73">
        <v>15</v>
      </c>
      <c r="EH11" s="73">
        <v>30</v>
      </c>
      <c r="EI11" s="73" t="s">
        <v>715</v>
      </c>
      <c r="EJ11">
        <v>50027866</v>
      </c>
    </row>
    <row r="12" spans="1:140" x14ac:dyDescent="0.25">
      <c r="A12" s="73" t="s">
        <v>823</v>
      </c>
      <c r="B12" s="73" t="s">
        <v>17</v>
      </c>
      <c r="C12" s="73" t="s">
        <v>12</v>
      </c>
      <c r="D12" s="73" t="s">
        <v>771</v>
      </c>
      <c r="E12" s="73" t="s">
        <v>18</v>
      </c>
      <c r="F12" s="73" t="s">
        <v>772</v>
      </c>
      <c r="G12" s="73" t="s">
        <v>770</v>
      </c>
      <c r="H12" s="73" t="s">
        <v>738</v>
      </c>
      <c r="I12" s="80"/>
      <c r="J12" s="73" t="s">
        <v>28</v>
      </c>
      <c r="K12" s="73" t="s">
        <v>29</v>
      </c>
      <c r="L12" s="73" t="s">
        <v>739</v>
      </c>
      <c r="M12" s="73" t="s">
        <v>739</v>
      </c>
      <c r="N12" s="73">
        <v>17.399999999999999</v>
      </c>
      <c r="O12" s="73">
        <v>18.600000000000001</v>
      </c>
      <c r="P12" s="73">
        <v>77.400000000000006</v>
      </c>
      <c r="Q12" s="73">
        <v>78.400000000000006</v>
      </c>
      <c r="R12" s="73" t="s">
        <v>526</v>
      </c>
      <c r="S12" s="73" t="s">
        <v>718</v>
      </c>
      <c r="T12" s="73" t="s">
        <v>780</v>
      </c>
      <c r="U12" s="73" t="s">
        <v>781</v>
      </c>
      <c r="V12" s="73" t="s">
        <v>200</v>
      </c>
      <c r="W12" s="73" t="s">
        <v>782</v>
      </c>
      <c r="X12" s="73" t="s">
        <v>783</v>
      </c>
      <c r="Y12" s="73" t="s">
        <v>780</v>
      </c>
      <c r="Z12" s="73" t="s">
        <v>784</v>
      </c>
      <c r="AA12" s="73" t="s">
        <v>786</v>
      </c>
      <c r="AB12" s="73" t="s">
        <v>739</v>
      </c>
      <c r="AC12" s="73" t="s">
        <v>781</v>
      </c>
      <c r="AD12" s="73" t="s">
        <v>785</v>
      </c>
      <c r="AE12" s="73" t="s">
        <v>787</v>
      </c>
      <c r="AF12" s="73" t="s">
        <v>739</v>
      </c>
      <c r="AG12" s="73" t="s">
        <v>504</v>
      </c>
      <c r="AH12" s="73" t="s">
        <v>673</v>
      </c>
      <c r="AI12" s="73" t="s">
        <v>25</v>
      </c>
      <c r="AJ12" s="73" t="s">
        <v>806</v>
      </c>
      <c r="AK12" s="73" t="s">
        <v>807</v>
      </c>
      <c r="AL12" s="73" t="s">
        <v>33</v>
      </c>
      <c r="AM12" s="73" t="s">
        <v>509</v>
      </c>
      <c r="AN12" s="73" t="s">
        <v>32</v>
      </c>
      <c r="AO12" s="73" t="s">
        <v>513</v>
      </c>
      <c r="AP12" s="73" t="s">
        <v>34</v>
      </c>
      <c r="AQ12" s="73">
        <v>50</v>
      </c>
      <c r="AR12" s="73">
        <v>40</v>
      </c>
      <c r="AS12" s="73" t="s">
        <v>506</v>
      </c>
      <c r="AT12" s="73" t="s">
        <v>507</v>
      </c>
      <c r="AU12" s="73" t="s">
        <v>33</v>
      </c>
      <c r="AV12" s="73" t="s">
        <v>514</v>
      </c>
      <c r="AW12" s="73" t="s">
        <v>32</v>
      </c>
      <c r="AX12" s="73" t="s">
        <v>515</v>
      </c>
      <c r="AY12" s="73" t="s">
        <v>792</v>
      </c>
      <c r="AZ12" s="73" t="s">
        <v>23</v>
      </c>
      <c r="BA12" s="107" t="s">
        <v>793</v>
      </c>
      <c r="BB12" s="73" t="s">
        <v>518</v>
      </c>
      <c r="BC12" s="73" t="s">
        <v>519</v>
      </c>
      <c r="BD12" s="73" t="s">
        <v>520</v>
      </c>
      <c r="BE12" s="73" t="s">
        <v>526</v>
      </c>
      <c r="BF12" s="73" t="s">
        <v>526</v>
      </c>
      <c r="BG12" s="73" t="s">
        <v>35</v>
      </c>
      <c r="BH12" s="73">
        <v>15.2</v>
      </c>
      <c r="BI12" s="73" t="s">
        <v>824</v>
      </c>
      <c r="BJ12" s="73">
        <v>0</v>
      </c>
      <c r="BK12" s="107" t="s">
        <v>808</v>
      </c>
      <c r="BL12" s="73">
        <v>0</v>
      </c>
      <c r="BM12" s="73">
        <v>2000</v>
      </c>
      <c r="BN12" s="73">
        <v>24</v>
      </c>
      <c r="BO12" s="73">
        <v>0.13200000000000001</v>
      </c>
      <c r="BP12" s="73">
        <v>0.13900000000000001</v>
      </c>
      <c r="BQ12" s="73">
        <v>5.3030303030303073E-2</v>
      </c>
      <c r="BR12" s="73">
        <v>0.13500000000000001</v>
      </c>
      <c r="BS12" s="73">
        <v>0.13300000000000001</v>
      </c>
      <c r="BT12" s="73">
        <v>1.4814814814814828E-2</v>
      </c>
      <c r="BU12" s="73">
        <v>0.13800000000000001</v>
      </c>
      <c r="BV12" s="73">
        <v>0.13900000000000001</v>
      </c>
      <c r="BW12" s="73">
        <v>7.2463768115942091E-3</v>
      </c>
      <c r="BX12" s="113">
        <v>2.5030498218904036E-2</v>
      </c>
      <c r="BY12" s="73">
        <v>100</v>
      </c>
      <c r="BZ12" s="111">
        <v>1.0300925925925926E-3</v>
      </c>
      <c r="CA12" s="114">
        <v>67.42</v>
      </c>
      <c r="CB12" s="111">
        <v>1.1458333333333333E-3</v>
      </c>
      <c r="CC12" s="114">
        <v>60.61</v>
      </c>
      <c r="CD12" s="118">
        <v>0.10101010101010095</v>
      </c>
      <c r="CE12" s="111">
        <v>1.0300925925925926E-3</v>
      </c>
      <c r="CF12" s="114">
        <v>67.42</v>
      </c>
      <c r="CG12" s="76">
        <v>1.0763888888888889E-3</v>
      </c>
      <c r="CH12" s="114">
        <v>64.52</v>
      </c>
      <c r="CI12" s="116">
        <v>4.3010752688172081E-2</v>
      </c>
      <c r="CJ12" s="76">
        <v>9.6064814814814819E-4</v>
      </c>
      <c r="CK12" s="114">
        <v>72.290000000000006</v>
      </c>
      <c r="CL12" s="76">
        <v>1.0763888888888889E-3</v>
      </c>
      <c r="CM12" s="114">
        <v>67.42</v>
      </c>
      <c r="CN12" s="118">
        <v>6.7415730337078747E-2</v>
      </c>
      <c r="CO12" s="116">
        <v>7.0478861345117258E-2</v>
      </c>
      <c r="CP12" s="114">
        <v>54.3</v>
      </c>
      <c r="CQ12" s="73" t="s">
        <v>809</v>
      </c>
      <c r="CR12" s="73">
        <v>55.5</v>
      </c>
      <c r="CS12" s="73" t="s">
        <v>810</v>
      </c>
      <c r="CT12" s="73">
        <v>52.7</v>
      </c>
      <c r="CU12" s="73" t="s">
        <v>811</v>
      </c>
      <c r="CV12" s="73">
        <v>39.799999999999997</v>
      </c>
      <c r="CW12" s="73" t="s">
        <v>814</v>
      </c>
      <c r="CX12" s="73">
        <v>54.8</v>
      </c>
      <c r="CY12" s="73" t="s">
        <v>815</v>
      </c>
      <c r="CZ12" s="73">
        <v>50.2</v>
      </c>
      <c r="DA12" s="73" t="s">
        <v>816</v>
      </c>
      <c r="DB12" s="73">
        <v>50.8</v>
      </c>
      <c r="DC12" s="73" t="s">
        <v>817</v>
      </c>
      <c r="DD12" s="73">
        <v>51.2</v>
      </c>
      <c r="DE12" s="73" t="s">
        <v>818</v>
      </c>
      <c r="DF12" s="73">
        <v>50</v>
      </c>
      <c r="DG12" s="73" t="s">
        <v>819</v>
      </c>
      <c r="DH12" s="80">
        <v>45782</v>
      </c>
      <c r="DI12" s="80">
        <v>45784</v>
      </c>
      <c r="DJ12" s="76">
        <v>0.66666666666666663</v>
      </c>
      <c r="DK12" s="76">
        <v>0.41666666666666669</v>
      </c>
      <c r="DL12" s="73">
        <v>42</v>
      </c>
      <c r="DM12" s="73">
        <v>60</v>
      </c>
      <c r="DN12" s="73">
        <v>44.55</v>
      </c>
      <c r="DO12" s="73">
        <v>52.1</v>
      </c>
      <c r="DP12" s="73" t="s">
        <v>807</v>
      </c>
      <c r="DQ12" s="73" t="s">
        <v>820</v>
      </c>
      <c r="DR12" s="73">
        <v>55.8</v>
      </c>
      <c r="DS12" s="107" t="s">
        <v>821</v>
      </c>
      <c r="DT12" s="73">
        <v>0.73299999999999998</v>
      </c>
      <c r="DU12" s="73">
        <v>0.98740000000000006</v>
      </c>
      <c r="DV12" s="73">
        <v>0.9526</v>
      </c>
      <c r="DW12" s="73">
        <v>0.89100000000000001</v>
      </c>
      <c r="DX12" s="73">
        <v>44.55</v>
      </c>
      <c r="DY12" s="73" t="s">
        <v>716</v>
      </c>
      <c r="DZ12" s="73" t="s">
        <v>716</v>
      </c>
      <c r="EA12" s="73" t="s">
        <v>716</v>
      </c>
      <c r="EB12" s="73" t="s">
        <v>716</v>
      </c>
      <c r="EC12" s="73" t="s">
        <v>716</v>
      </c>
      <c r="ED12" s="73" t="s">
        <v>716</v>
      </c>
      <c r="EE12" s="73" t="s">
        <v>716</v>
      </c>
      <c r="EF12" s="73" t="s">
        <v>716</v>
      </c>
      <c r="EG12" s="73">
        <v>15</v>
      </c>
      <c r="EH12" s="73">
        <v>25</v>
      </c>
      <c r="EI12" s="73" t="s">
        <v>715</v>
      </c>
      <c r="EJ12" t="s">
        <v>808</v>
      </c>
    </row>
    <row r="13" spans="1:140" x14ac:dyDescent="0.25">
      <c r="A13" s="73" t="s">
        <v>804</v>
      </c>
      <c r="B13" s="73" t="s">
        <v>17</v>
      </c>
      <c r="C13" s="73" t="s">
        <v>12</v>
      </c>
      <c r="D13" s="73" t="s">
        <v>771</v>
      </c>
      <c r="E13" s="73" t="s">
        <v>18</v>
      </c>
      <c r="F13" s="73" t="s">
        <v>772</v>
      </c>
      <c r="G13" s="73" t="s">
        <v>770</v>
      </c>
      <c r="H13" s="73" t="s">
        <v>738</v>
      </c>
      <c r="I13" s="80"/>
      <c r="J13" s="73" t="s">
        <v>28</v>
      </c>
      <c r="K13" s="73" t="s">
        <v>29</v>
      </c>
      <c r="L13" s="73" t="s">
        <v>739</v>
      </c>
      <c r="M13" s="73" t="s">
        <v>739</v>
      </c>
      <c r="N13" s="73">
        <v>17.399999999999999</v>
      </c>
      <c r="O13" s="73">
        <v>18.3</v>
      </c>
      <c r="P13" s="73">
        <v>77.8</v>
      </c>
      <c r="Q13" s="73">
        <v>77.5</v>
      </c>
      <c r="R13" s="73" t="s">
        <v>526</v>
      </c>
      <c r="S13" s="73" t="s">
        <v>718</v>
      </c>
      <c r="T13" s="73" t="s">
        <v>780</v>
      </c>
      <c r="U13" s="73" t="s">
        <v>781</v>
      </c>
      <c r="V13" s="73" t="s">
        <v>200</v>
      </c>
      <c r="W13" s="73" t="s">
        <v>782</v>
      </c>
      <c r="X13" s="73" t="s">
        <v>783</v>
      </c>
      <c r="Y13" s="73" t="s">
        <v>780</v>
      </c>
      <c r="Z13" s="73" t="s">
        <v>784</v>
      </c>
      <c r="AA13" s="73" t="s">
        <v>786</v>
      </c>
      <c r="AB13" s="73" t="s">
        <v>739</v>
      </c>
      <c r="AC13" s="73" t="s">
        <v>781</v>
      </c>
      <c r="AD13" s="73" t="s">
        <v>785</v>
      </c>
      <c r="AE13" s="73" t="s">
        <v>787</v>
      </c>
      <c r="AF13" s="73" t="s">
        <v>739</v>
      </c>
      <c r="AG13" s="73" t="s">
        <v>805</v>
      </c>
      <c r="AH13" s="73" t="s">
        <v>673</v>
      </c>
      <c r="AI13" s="73" t="s">
        <v>788</v>
      </c>
      <c r="AJ13" s="73" t="s">
        <v>825</v>
      </c>
      <c r="AK13" s="73" t="s">
        <v>789</v>
      </c>
      <c r="AL13" s="73" t="s">
        <v>33</v>
      </c>
      <c r="AM13" s="73" t="s">
        <v>790</v>
      </c>
      <c r="AN13" s="73" t="s">
        <v>32</v>
      </c>
      <c r="AO13" s="73" t="s">
        <v>513</v>
      </c>
      <c r="AP13" s="73" t="s">
        <v>791</v>
      </c>
      <c r="AQ13" s="73">
        <v>50</v>
      </c>
      <c r="AR13" s="73">
        <v>40</v>
      </c>
      <c r="AS13" s="73" t="s">
        <v>506</v>
      </c>
      <c r="AT13" s="73" t="s">
        <v>507</v>
      </c>
      <c r="AU13" s="73" t="s">
        <v>33</v>
      </c>
      <c r="AV13" s="73" t="s">
        <v>514</v>
      </c>
      <c r="AW13" s="73" t="s">
        <v>32</v>
      </c>
      <c r="AX13" s="73" t="s">
        <v>515</v>
      </c>
      <c r="AY13" s="73" t="s">
        <v>792</v>
      </c>
      <c r="AZ13" s="73" t="s">
        <v>23</v>
      </c>
      <c r="BA13" s="107" t="s">
        <v>793</v>
      </c>
      <c r="BB13" s="73" t="s">
        <v>518</v>
      </c>
      <c r="BC13" s="73" t="s">
        <v>519</v>
      </c>
      <c r="BD13" s="73" t="s">
        <v>520</v>
      </c>
      <c r="BE13" s="73" t="s">
        <v>526</v>
      </c>
      <c r="BF13" s="73" t="s">
        <v>526</v>
      </c>
      <c r="BG13" s="73" t="s">
        <v>35</v>
      </c>
      <c r="BH13" s="73">
        <v>10.5</v>
      </c>
      <c r="BI13" s="73" t="s">
        <v>822</v>
      </c>
      <c r="BJ13" s="73">
        <v>0</v>
      </c>
      <c r="BK13" s="107" t="s">
        <v>826</v>
      </c>
      <c r="BL13" s="73">
        <v>0</v>
      </c>
      <c r="BM13" s="73">
        <v>2000</v>
      </c>
      <c r="BN13" s="73">
        <v>24</v>
      </c>
      <c r="BO13" s="73">
        <v>0.13200000000000001</v>
      </c>
      <c r="BP13" s="73">
        <v>0.13500000000000001</v>
      </c>
      <c r="BQ13" s="73">
        <v>2.2727272727272745E-2</v>
      </c>
      <c r="BR13" s="73">
        <v>0.13500000000000001</v>
      </c>
      <c r="BS13" s="73">
        <v>0.13300000000000001</v>
      </c>
      <c r="BT13" s="73">
        <v>1.4814814814814828E-2</v>
      </c>
      <c r="BU13" s="73">
        <v>0.14000000000000001</v>
      </c>
      <c r="BV13" s="73">
        <v>0.14000000000000001</v>
      </c>
      <c r="BW13" s="73">
        <v>0</v>
      </c>
      <c r="BX13" s="113">
        <v>1.2514029180695857E-2</v>
      </c>
      <c r="BY13" s="73">
        <v>100</v>
      </c>
      <c r="BZ13" s="120">
        <v>1.1689814814814816E-3</v>
      </c>
      <c r="CA13" s="121">
        <v>59.4</v>
      </c>
      <c r="CB13" s="120">
        <v>1.0879629629629629E-3</v>
      </c>
      <c r="CC13" s="121">
        <v>63.8</v>
      </c>
      <c r="CD13" s="122">
        <v>7.4468085106383045E-2</v>
      </c>
      <c r="CE13" s="120">
        <v>1.0185185185185184E-3</v>
      </c>
      <c r="CF13" s="121">
        <v>68.2</v>
      </c>
      <c r="CG13" s="123">
        <v>5.6712962962962967E-4</v>
      </c>
      <c r="CH13" s="121">
        <v>122.4</v>
      </c>
      <c r="CI13" s="124">
        <v>0.79591836734693877</v>
      </c>
      <c r="CJ13" s="76">
        <v>9.2592592592592596E-4</v>
      </c>
      <c r="CK13" s="114">
        <v>75</v>
      </c>
      <c r="CL13" s="76">
        <v>9.0277777777777774E-4</v>
      </c>
      <c r="CM13" s="114">
        <v>76.900000000000006</v>
      </c>
      <c r="CN13" s="118">
        <v>2.5641025641025637E-2</v>
      </c>
      <c r="CO13" s="116">
        <v>0.29867582603144915</v>
      </c>
      <c r="CP13" s="114">
        <v>56</v>
      </c>
      <c r="CQ13" s="73" t="s">
        <v>794</v>
      </c>
      <c r="CR13" s="73">
        <v>54.2</v>
      </c>
      <c r="CS13" s="73" t="s">
        <v>795</v>
      </c>
      <c r="CT13" s="73">
        <v>52.9</v>
      </c>
      <c r="CU13" s="73" t="s">
        <v>796</v>
      </c>
      <c r="CV13" s="73">
        <v>46.1</v>
      </c>
      <c r="CW13" s="73" t="s">
        <v>797</v>
      </c>
      <c r="CX13" s="73">
        <v>55.2</v>
      </c>
      <c r="CY13" s="73" t="s">
        <v>798</v>
      </c>
      <c r="CZ13" s="73">
        <v>51.2</v>
      </c>
      <c r="DA13" s="73" t="s">
        <v>799</v>
      </c>
      <c r="DB13" s="73">
        <v>56.1</v>
      </c>
      <c r="DC13" s="73" t="s">
        <v>800</v>
      </c>
      <c r="DD13" s="73">
        <v>56.8</v>
      </c>
      <c r="DE13" s="73" t="s">
        <v>801</v>
      </c>
      <c r="DF13" s="73">
        <v>50.1</v>
      </c>
      <c r="DG13" s="73" t="s">
        <v>802</v>
      </c>
      <c r="DH13" s="80">
        <v>45782</v>
      </c>
      <c r="DI13" s="80">
        <v>45783</v>
      </c>
      <c r="DJ13" s="76">
        <v>0.64583333333333337</v>
      </c>
      <c r="DK13" s="76">
        <v>0.64583333333333337</v>
      </c>
      <c r="DL13" s="73">
        <v>24</v>
      </c>
      <c r="DM13" s="73">
        <v>60</v>
      </c>
      <c r="DN13" s="110">
        <v>46.826666666666661</v>
      </c>
      <c r="DO13" s="73">
        <v>52.7</v>
      </c>
      <c r="DP13" s="73" t="s">
        <v>789</v>
      </c>
      <c r="DQ13" s="73" t="s">
        <v>803</v>
      </c>
      <c r="DR13" s="73">
        <v>54.7</v>
      </c>
      <c r="DS13" s="107" t="s">
        <v>831</v>
      </c>
      <c r="DT13" s="73">
        <v>0.82320000000000004</v>
      </c>
      <c r="DU13" s="73">
        <v>1.0185</v>
      </c>
      <c r="DV13" s="73">
        <v>0.96789999999999998</v>
      </c>
      <c r="DW13" s="73">
        <v>0.93653333333333322</v>
      </c>
      <c r="DX13" s="73">
        <v>46.826666666666661</v>
      </c>
      <c r="DY13" s="73" t="s">
        <v>716</v>
      </c>
      <c r="DZ13" s="73" t="s">
        <v>716</v>
      </c>
      <c r="EA13" s="73" t="s">
        <v>716</v>
      </c>
      <c r="EB13" s="73" t="s">
        <v>716</v>
      </c>
      <c r="EC13" s="73" t="s">
        <v>716</v>
      </c>
      <c r="ED13" s="73" t="s">
        <v>716</v>
      </c>
      <c r="EE13" s="73" t="s">
        <v>716</v>
      </c>
      <c r="EF13" s="73" t="s">
        <v>716</v>
      </c>
      <c r="EG13" s="73">
        <v>15</v>
      </c>
      <c r="EH13" s="73">
        <v>30</v>
      </c>
      <c r="EI13" s="73" t="s">
        <v>715</v>
      </c>
      <c r="EJ13">
        <v>50026079</v>
      </c>
    </row>
    <row r="14" spans="1:140" x14ac:dyDescent="0.25">
      <c r="A14" s="73" t="s">
        <v>717</v>
      </c>
      <c r="B14" s="73" t="s">
        <v>17</v>
      </c>
      <c r="C14" s="73" t="s">
        <v>12</v>
      </c>
      <c r="D14" s="73" t="s">
        <v>771</v>
      </c>
      <c r="E14" s="73" t="s">
        <v>18</v>
      </c>
      <c r="F14" s="73" t="s">
        <v>772</v>
      </c>
      <c r="G14" s="73" t="s">
        <v>770</v>
      </c>
      <c r="H14" s="73" t="s">
        <v>738</v>
      </c>
      <c r="I14" s="80"/>
      <c r="J14" s="73" t="s">
        <v>28</v>
      </c>
      <c r="K14" s="73" t="s">
        <v>29</v>
      </c>
      <c r="L14" s="73" t="s">
        <v>739</v>
      </c>
      <c r="M14" s="73" t="s">
        <v>739</v>
      </c>
      <c r="N14" s="73">
        <v>21.8</v>
      </c>
      <c r="O14" s="73">
        <v>15.5</v>
      </c>
      <c r="P14" s="73">
        <v>63.8</v>
      </c>
      <c r="Q14" s="73">
        <v>68.3</v>
      </c>
      <c r="R14" s="73" t="s">
        <v>526</v>
      </c>
      <c r="S14" s="73" t="s">
        <v>718</v>
      </c>
      <c r="T14" s="73" t="s">
        <v>19</v>
      </c>
      <c r="U14" s="73" t="s">
        <v>500</v>
      </c>
      <c r="V14" s="73" t="s">
        <v>200</v>
      </c>
      <c r="W14" s="73" t="s">
        <v>530</v>
      </c>
      <c r="X14" s="73" t="s">
        <v>20</v>
      </c>
      <c r="Y14" s="73" t="s">
        <v>19</v>
      </c>
      <c r="Z14" s="73" t="s">
        <v>30</v>
      </c>
      <c r="AA14" s="73" t="s">
        <v>31</v>
      </c>
      <c r="AB14" s="73" t="s">
        <v>739</v>
      </c>
      <c r="AC14" s="73" t="s">
        <v>500</v>
      </c>
      <c r="AD14" s="73" t="s">
        <v>501</v>
      </c>
      <c r="AE14" s="73" t="s">
        <v>502</v>
      </c>
      <c r="AF14" s="73" t="s">
        <v>739</v>
      </c>
      <c r="AG14" s="73" t="s">
        <v>504</v>
      </c>
      <c r="AH14" s="73" t="s">
        <v>673</v>
      </c>
      <c r="AI14" s="73" t="s">
        <v>25</v>
      </c>
      <c r="AJ14" s="73" t="s">
        <v>26</v>
      </c>
      <c r="AK14" s="73" t="s">
        <v>27</v>
      </c>
      <c r="AL14" s="73" t="s">
        <v>33</v>
      </c>
      <c r="AM14" s="73" t="s">
        <v>509</v>
      </c>
      <c r="AN14" s="73" t="s">
        <v>511</v>
      </c>
      <c r="AO14" s="73" t="s">
        <v>513</v>
      </c>
      <c r="AP14" s="73" t="s">
        <v>34</v>
      </c>
      <c r="AQ14" s="73">
        <v>50</v>
      </c>
      <c r="AR14" s="73">
        <v>40</v>
      </c>
      <c r="AS14" s="73" t="s">
        <v>506</v>
      </c>
      <c r="AT14" s="73" t="s">
        <v>507</v>
      </c>
      <c r="AU14" s="73" t="s">
        <v>33</v>
      </c>
      <c r="AV14" s="73" t="s">
        <v>514</v>
      </c>
      <c r="AW14" s="73" t="s">
        <v>32</v>
      </c>
      <c r="AX14" s="73" t="s">
        <v>515</v>
      </c>
      <c r="AY14" s="73" t="s">
        <v>22</v>
      </c>
      <c r="AZ14" s="73" t="s">
        <v>23</v>
      </c>
      <c r="BA14" s="107" t="s">
        <v>24</v>
      </c>
      <c r="BB14" s="73" t="s">
        <v>518</v>
      </c>
      <c r="BC14" s="73" t="s">
        <v>519</v>
      </c>
      <c r="BD14" s="73" t="s">
        <v>520</v>
      </c>
      <c r="BE14" s="73" t="s">
        <v>526</v>
      </c>
      <c r="BF14" s="73" t="s">
        <v>526</v>
      </c>
      <c r="BG14" s="73" t="s">
        <v>35</v>
      </c>
      <c r="BH14" s="73" t="s">
        <v>523</v>
      </c>
      <c r="BI14" s="73" t="s">
        <v>16</v>
      </c>
      <c r="BJ14" s="73" t="s">
        <v>36</v>
      </c>
      <c r="BK14" s="107" t="s">
        <v>755</v>
      </c>
      <c r="BL14" s="73" t="s">
        <v>37</v>
      </c>
      <c r="BM14" s="73">
        <v>2000</v>
      </c>
      <c r="BN14" s="73">
        <v>24</v>
      </c>
      <c r="BO14" s="73">
        <v>0.13200000000000001</v>
      </c>
      <c r="BP14" s="73">
        <v>0.13100000000000001</v>
      </c>
      <c r="BQ14" s="73">
        <v>7.575757575757582E-3</v>
      </c>
      <c r="BR14" s="73">
        <v>0.13300000000000001</v>
      </c>
      <c r="BS14" s="73">
        <v>0.13200000000000001</v>
      </c>
      <c r="BT14" s="73">
        <v>7.5187969924812095E-3</v>
      </c>
      <c r="BU14" s="73">
        <v>0.13500000000000001</v>
      </c>
      <c r="BV14" s="73">
        <v>0.14299999999999999</v>
      </c>
      <c r="BW14" s="73">
        <v>5.9259259259259102E-2</v>
      </c>
      <c r="BX14" s="113">
        <v>2.4784604609165966E-2</v>
      </c>
      <c r="BY14" s="73">
        <v>100</v>
      </c>
      <c r="BZ14" s="111">
        <v>0.98</v>
      </c>
      <c r="CA14" s="114">
        <v>102.04081632653062</v>
      </c>
      <c r="CB14" s="111">
        <v>1.1200000000000001</v>
      </c>
      <c r="CC14" s="114">
        <v>89.285714285714278</v>
      </c>
      <c r="CD14" s="118">
        <v>0.12500000000000011</v>
      </c>
      <c r="CE14" s="111">
        <v>0.98</v>
      </c>
      <c r="CF14" s="114">
        <v>102.04081632653062</v>
      </c>
      <c r="CG14" s="76">
        <v>1.02</v>
      </c>
      <c r="CH14" s="114">
        <v>98.039215686274503</v>
      </c>
      <c r="CI14" s="116">
        <v>3.9215686274509921E-2</v>
      </c>
      <c r="CJ14" s="76">
        <v>1.07</v>
      </c>
      <c r="CK14" s="114">
        <v>93.457943925233636</v>
      </c>
      <c r="CL14" s="76">
        <v>1.03</v>
      </c>
      <c r="CM14" s="114">
        <v>97.087378640776691</v>
      </c>
      <c r="CN14" s="118">
        <v>3.8834951456310697E-2</v>
      </c>
      <c r="CO14" s="116">
        <v>6.7683545910273576E-2</v>
      </c>
      <c r="CP14" s="114">
        <v>55.3</v>
      </c>
      <c r="CQ14" s="73" t="s">
        <v>742</v>
      </c>
      <c r="CR14" s="73">
        <v>56.6</v>
      </c>
      <c r="CS14" s="73" t="s">
        <v>743</v>
      </c>
      <c r="CT14" s="73">
        <v>55.1</v>
      </c>
      <c r="CU14" s="73" t="s">
        <v>744</v>
      </c>
      <c r="CV14" s="73">
        <v>41.4</v>
      </c>
      <c r="CW14" s="73" t="s">
        <v>745</v>
      </c>
      <c r="CX14" s="73">
        <v>42.6</v>
      </c>
      <c r="CY14" s="73" t="s">
        <v>746</v>
      </c>
      <c r="CZ14" s="73">
        <v>39.799999999999997</v>
      </c>
      <c r="DA14" s="73" t="s">
        <v>747</v>
      </c>
      <c r="DB14" s="73">
        <v>50.1</v>
      </c>
      <c r="DC14" s="73" t="s">
        <v>750</v>
      </c>
      <c r="DD14" s="73">
        <v>50.4</v>
      </c>
      <c r="DE14" s="73" t="s">
        <v>749</v>
      </c>
      <c r="DF14" s="73">
        <v>52.6</v>
      </c>
      <c r="DG14" s="73" t="s">
        <v>748</v>
      </c>
      <c r="DH14" s="80">
        <v>45731</v>
      </c>
      <c r="DI14" s="80">
        <v>45732</v>
      </c>
      <c r="DJ14" s="76">
        <v>0.625</v>
      </c>
      <c r="DK14" s="76">
        <v>0.68819444444444444</v>
      </c>
      <c r="DL14" s="73">
        <v>25.516666666720994</v>
      </c>
      <c r="DM14" s="73">
        <v>60</v>
      </c>
      <c r="DN14" s="73">
        <v>37.06</v>
      </c>
      <c r="DO14" s="73">
        <v>42.2</v>
      </c>
      <c r="DP14" s="73" t="s">
        <v>27</v>
      </c>
      <c r="DQ14" s="73" t="s">
        <v>751</v>
      </c>
      <c r="DR14" s="73"/>
      <c r="DS14" s="107"/>
      <c r="DT14" s="73">
        <v>0.74860000000000004</v>
      </c>
      <c r="DU14" s="73">
        <v>0.75270000000000004</v>
      </c>
      <c r="DV14" s="73">
        <v>0.72230000000000005</v>
      </c>
      <c r="DW14" s="73">
        <v>0.74120000000000008</v>
      </c>
      <c r="DX14" s="73">
        <v>37.06</v>
      </c>
      <c r="DY14" s="73" t="s">
        <v>716</v>
      </c>
      <c r="DZ14" s="73" t="s">
        <v>716</v>
      </c>
      <c r="EA14" s="73" t="s">
        <v>716</v>
      </c>
      <c r="EB14" s="73" t="s">
        <v>716</v>
      </c>
      <c r="EC14" s="73" t="s">
        <v>716</v>
      </c>
      <c r="ED14" s="73" t="s">
        <v>716</v>
      </c>
      <c r="EE14" s="73" t="s">
        <v>716</v>
      </c>
      <c r="EF14" s="73" t="s">
        <v>716</v>
      </c>
      <c r="EG14" s="73">
        <v>15</v>
      </c>
      <c r="EH14" s="73">
        <v>30</v>
      </c>
      <c r="EI14" s="73" t="s">
        <v>715</v>
      </c>
      <c r="EJ14" t="s">
        <v>755</v>
      </c>
    </row>
    <row r="15" spans="1:140" x14ac:dyDescent="0.25">
      <c r="BQ15" s="53"/>
    </row>
  </sheetData>
  <autoFilter ref="A1:EJ1" xr:uid="{984F5B71-E340-4E1D-8FBB-A624DB5EFD29}"/>
  <phoneticPr fontId="1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ENTRADAS</vt:lpstr>
      <vt:lpstr>AREA TRANSFER</vt:lpstr>
      <vt:lpstr>CADASTRO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</dc:creator>
  <cp:lastModifiedBy>Leandro Sa</cp:lastModifiedBy>
  <dcterms:created xsi:type="dcterms:W3CDTF">2025-03-17T15:56:47Z</dcterms:created>
  <dcterms:modified xsi:type="dcterms:W3CDTF">2025-09-03T15:06:05Z</dcterms:modified>
</cp:coreProperties>
</file>